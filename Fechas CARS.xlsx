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AndresBeltranG\Documents\UNERGY\Automatizacion\App CARS\"/>
    </mc:Choice>
  </mc:AlternateContent>
  <xr:revisionPtr revIDLastSave="0" documentId="13_ncr:1_{D875E87B-B879-4273-9394-EDF71E50D93D}" xr6:coauthVersionLast="47" xr6:coauthVersionMax="47" xr10:uidLastSave="{00000000-0000-0000-0000-000000000000}"/>
  <bookViews>
    <workbookView xWindow="-108" yWindow="-108" windowWidth="23256" windowHeight="12456" tabRatio="556" xr2:uid="{360465FD-DB33-40A4-B804-83F77FD168BF}"/>
  </bookViews>
  <sheets>
    <sheet name="Hoja2" sheetId="2" r:id="rId1"/>
    <sheet name="Hoja1" sheetId="3" r:id="rId2"/>
  </sheets>
  <definedNames>
    <definedName name="_xlnm._FilterDatabase" localSheetId="0" hidden="1">Hoja2!$A$1:$P$177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3" l="1" a="1"/>
  <c r="L16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<sst xmlns="http://schemas.openxmlformats.org/spreadsheetml/2006/main" count="1611" uniqueCount="321">
  <si>
    <t>Tipo</t>
  </si>
  <si>
    <t>Categoría Trámite</t>
  </si>
  <si>
    <t>Titular</t>
  </si>
  <si>
    <t>Fecha auto</t>
  </si>
  <si>
    <t>Ocupación de cauce</t>
  </si>
  <si>
    <t>Fecha visita</t>
  </si>
  <si>
    <t>Seccional</t>
  </si>
  <si>
    <t>CAR</t>
  </si>
  <si>
    <t>CORPOCESAR</t>
  </si>
  <si>
    <t>Aprovechamiento forestal</t>
  </si>
  <si>
    <t>Fecha radicado inicio trámite</t>
  </si>
  <si>
    <t>Tipo de persona</t>
  </si>
  <si>
    <t>Valledupar</t>
  </si>
  <si>
    <t>Aislado</t>
  </si>
  <si>
    <t>Requerimientos</t>
  </si>
  <si>
    <t>Unico</t>
  </si>
  <si>
    <t>Auto</t>
  </si>
  <si>
    <t>Resolución</t>
  </si>
  <si>
    <t>ATLANTICA-HIC RENOVABLES S.A.S</t>
  </si>
  <si>
    <t>EXTRACTORA SICARARE S.A.S</t>
  </si>
  <si>
    <t>VIVA MAYALES S.A.S</t>
  </si>
  <si>
    <t>PROMOTORA RESERVAS DE ANDALUCÍA S.A.S</t>
  </si>
  <si>
    <t>UNIÓN TEMPORAL VIAL VLP</t>
  </si>
  <si>
    <t>RODAS SOLAR S.A.S</t>
  </si>
  <si>
    <t>CONSORCIO TRANSVERSAL VIAL NEVADĀ</t>
  </si>
  <si>
    <t>Departamento del Cesar</t>
  </si>
  <si>
    <t>LASCANO MORALES &amp; HIJOS S.C.S</t>
  </si>
  <si>
    <t># Arboles</t>
  </si>
  <si>
    <t>UNERGY ENERGÍA DIGITAL S.A.S ESP</t>
  </si>
  <si>
    <t>PROYECTOS E INVERSIONES MPL</t>
  </si>
  <si>
    <t>BLACK ORCHID SOLAR MANAGEMENT S.A.S</t>
  </si>
  <si>
    <t>ESE HOSPITAL ROSARIO PUMAREJO DE LÓPEZ</t>
  </si>
  <si>
    <t>AUTOPISTA DEL RIO GRANDE S.A.S</t>
  </si>
  <si>
    <t>Archivo</t>
  </si>
  <si>
    <t>Fecha resolución</t>
  </si>
  <si>
    <t>Vol (m3)</t>
  </si>
  <si>
    <t>Revisar manualmente</t>
  </si>
  <si>
    <t>No aplica</t>
  </si>
  <si>
    <t>RESOLUCION-0051-09-02-2026-DG.pdf</t>
  </si>
  <si>
    <t>RESOLUCION-0012-18-02-2026-RN.pdf</t>
  </si>
  <si>
    <t>RESOLUCION-0009-03-02-2026-RN.pdf</t>
  </si>
  <si>
    <t>OLIVERIO CARDENAS QUINTERO</t>
  </si>
  <si>
    <t>AUTO-0070-27-02-2026-RN.pdf</t>
  </si>
  <si>
    <t>ERCO ENERGÍA S.A.S</t>
  </si>
  <si>
    <t>No especificado (pendiente de resolución final)</t>
  </si>
  <si>
    <t>AUTO-0062-25-02-2026-RN.pdf</t>
  </si>
  <si>
    <t>AUTO-0061-25-02-2026-RN.pdf</t>
  </si>
  <si>
    <t>AUTO-0060-25-02-2026-RN.pdf</t>
  </si>
  <si>
    <t>AUTO-0059-25-02-2026-RN.pdf</t>
  </si>
  <si>
    <t>AUTO-0054-16-02-2026-RN.pdf</t>
  </si>
  <si>
    <t>BORIS ANTONIO ANDRADE MOVILLA</t>
  </si>
  <si>
    <t>CONSORCIO
CONSTRUCTOR AUTOPISTA DEL RIO GRANDE</t>
  </si>
  <si>
    <t>AUTO-0050-11-02-2026-RN.pdf</t>
  </si>
  <si>
    <t>AUTO-0047-10-02-2026-RN.pdf</t>
  </si>
  <si>
    <t>CARMEN DOLORES BERRIO MAESTRE</t>
  </si>
  <si>
    <t>AUTO-0044-09-02-2026-RN.pdf</t>
  </si>
  <si>
    <t>AUTO-0043-09-02-2026-RN.pdf</t>
  </si>
  <si>
    <t>AUTO-0042-09-02-2026-RN.pdf</t>
  </si>
  <si>
    <t>MARÍA CLAUDIA VILLERO ARZUAGA</t>
  </si>
  <si>
    <t>AUTO-0041-09-02-2026-RN.pdf</t>
  </si>
  <si>
    <t>AUTO-0040-09-02-2026-RN.pdf</t>
  </si>
  <si>
    <t>AUTO-0035-06-02-2026-RN.pdf</t>
  </si>
  <si>
    <t>AUTO-0031-23-02-2026-RN.pdf</t>
  </si>
  <si>
    <t>DAYANA MARCELA LEYVA
CARCAMO</t>
  </si>
  <si>
    <t>AUTO-0001-06-01-2026-RN.pdf</t>
  </si>
  <si>
    <t>LUIS ROBERTO POSADA SANCHEZ</t>
  </si>
  <si>
    <t>AUTO-0022-28-01-2026-RN.pdf</t>
  </si>
  <si>
    <t>AUTO-0025-29-01-2026-RN.pdf</t>
  </si>
  <si>
    <t>RESOLUCION-0006-28-01-2026-RN.pdf</t>
  </si>
  <si>
    <t>CARMEN MARIA
SERRANO ROMERO</t>
  </si>
  <si>
    <t>RESOLUCION-0007-28-01-2026-RN.pdf</t>
  </si>
  <si>
    <t>ESE HOSPITAL ROSARIO
PUMAREJO DE LÓPEZ</t>
  </si>
  <si>
    <t>AUTO-0075-02-03-2026-RN.pdf</t>
  </si>
  <si>
    <t>RESOLUCION-0097-16-03-2026-DG.pdf</t>
  </si>
  <si>
    <t>AUTO-0073-02-03-2026-RN.pdf</t>
  </si>
  <si>
    <t>AUTO-0102-18-03-2026-RN.pdf</t>
  </si>
  <si>
    <t>RESOLUCION-0016-09-03-2026-RN.pdf</t>
  </si>
  <si>
    <t>RESOLUCION-0118-19-03-2026-DG.pdf</t>
  </si>
  <si>
    <t>RESOLUCION-0017-16-03-2026-RN.pdf</t>
  </si>
  <si>
    <t>RESOLUCION-0116-19-03-2026-DG.pdf</t>
  </si>
  <si>
    <t>RESOLUCION-0114-18-03-2026-DG.pdf</t>
  </si>
  <si>
    <t>RESOLUCION-0129-24-03-2026-DG.pdf</t>
  </si>
  <si>
    <t>RESOLUCION-0122-19-03-2026-DG.pdf</t>
  </si>
  <si>
    <t>RESOLUCION-0119-19-03-2026-DG.pdf</t>
  </si>
  <si>
    <t>RESOLUCION-0135-24-03-2026-DG.pdf</t>
  </si>
  <si>
    <t>SERPETCOL
S.A.S</t>
  </si>
  <si>
    <t>RESOLUCION-0138-24-03-2026-DG.pdf</t>
  </si>
  <si>
    <t>RESOLUCION-0146-26-03-2026-DG.pdf</t>
  </si>
  <si>
    <t>RESOLUCION-0625-23-12-2025-DG.pdf</t>
  </si>
  <si>
    <t>Empresa / Entidad</t>
  </si>
  <si>
    <t>RESOLUCION-0607-23-12-2025-DG.pdf</t>
  </si>
  <si>
    <t>RESOLUCION-0600-23-12-2025-DG.pdf</t>
  </si>
  <si>
    <t>RESOLUCION-0590-12-12-2025-DG.pdf</t>
  </si>
  <si>
    <t>RESOLUCION-0055-23-12-2025-RN.pdf</t>
  </si>
  <si>
    <t>CESAR AUGUSTO SIERRA MARQUEZ</t>
  </si>
  <si>
    <t>Persona natural</t>
  </si>
  <si>
    <t>RESOLUCION-0052-18-12-2025-RN.pdf</t>
  </si>
  <si>
    <t>DIEGO MERCADO SANABRIA</t>
  </si>
  <si>
    <t>RESOLUCION-0050-16-12-2025-RN.pdf</t>
  </si>
  <si>
    <t>INVERSIONES GALAMBAO S.A.S</t>
  </si>
  <si>
    <t>RESOLUCION-0047-05-12-2025-RN.pdf</t>
  </si>
  <si>
    <t>CLAUDIA LUZ PARRA CASTAÑO</t>
  </si>
  <si>
    <t>RESOLUCION-0046-10-12-2025-RN.pdf</t>
  </si>
  <si>
    <t>CESAR AUGUSTO SIERRA
MARQUEZ</t>
  </si>
  <si>
    <t>AUTO-0247-03-12-2025-RN.pdf</t>
  </si>
  <si>
    <t>NELSON MANUEL GONZALEZ GONZALEZ</t>
  </si>
  <si>
    <t>AUTO-0211-29-10-2025-RN.pdf</t>
  </si>
  <si>
    <t>AUTO-0210-29-10-2025-RN.pdf</t>
  </si>
  <si>
    <t>AUTO-0207-21-10-2025-RN.pdf</t>
  </si>
  <si>
    <t>MARIA ALEJANDRA ARZUAGA PADILLA</t>
  </si>
  <si>
    <t>AUTO-0206-21-10-2025-RN.pdf</t>
  </si>
  <si>
    <t>AUTO-0196-09-10-2025-RN.pdf</t>
  </si>
  <si>
    <t>SOLENIUM S.A.S</t>
  </si>
  <si>
    <t>AUTO-0191-09-10-2025-RN.pdf</t>
  </si>
  <si>
    <t>RESOLUCION-0394-03-10-2025-DG.pdf</t>
  </si>
  <si>
    <t>RESOLUCION-0389-03-10-2025-DG.pdf</t>
  </si>
  <si>
    <t>RESOLUCION-0386-02-10-2025-DG.pdf</t>
  </si>
  <si>
    <t>AUTO-0180-24-10-2025-JA.pdf</t>
  </si>
  <si>
    <t>TRANSPORTADORA DE GAS INTERNACIONAL S.A</t>
  </si>
  <si>
    <t>AUTO-0179-24-10-2025-JA.pdf</t>
  </si>
  <si>
    <t>TRANSPORTADORA DE GAS INTERNACIONAL S</t>
  </si>
  <si>
    <t>AUTO-0165-06-10-2025-JA.pdf</t>
  </si>
  <si>
    <t>AUTO-0160-15-10-2025-JA.pdf</t>
  </si>
  <si>
    <t>YUMA CONCESIONARIA S.A.</t>
  </si>
  <si>
    <t>AUTO-0154-14-10-2025-JA.pdf</t>
  </si>
  <si>
    <t>HELCIAS RODOLFO
CASTILLA VALERA</t>
  </si>
  <si>
    <t>AUTO-0119-21-07-2026-JA.pdf</t>
  </si>
  <si>
    <t>AUTO-0118-15-07-2026-JA.pdf</t>
  </si>
  <si>
    <t>EQUIMAQ DEL CESAR S.A.S.</t>
  </si>
  <si>
    <t>AUTO-0118-15-07-2026-JA (1).pdf</t>
  </si>
  <si>
    <t>RESOLUCION-0062-30-07-2026-RN.pdf</t>
  </si>
  <si>
    <t>CONSORCIO LA GLORIETA</t>
  </si>
  <si>
    <t>RESOLUCION-0057-24-07-2026-RN.pdf</t>
  </si>
  <si>
    <t>RESOLUCION-0055-17-07-2026-RN.pdf</t>
  </si>
  <si>
    <t>RESOLUCION-0051-08-07-2026-RN.pdf</t>
  </si>
  <si>
    <t>CONSORCIO CONSTRUCTOR
PISTA DEL RIO GRANDE</t>
  </si>
  <si>
    <t>RESOLUCION-0335-03-07-2026-DG.pdf</t>
  </si>
  <si>
    <t>UNERGY
ENERGÍA DIGITAL S.A.S ESP</t>
  </si>
  <si>
    <t>RESOLUCION-0288-11-06-2026-DG.pdf</t>
  </si>
  <si>
    <t>RESOLUCION-0287-11-06-2026-DG.pdf</t>
  </si>
  <si>
    <t>RESOLUCION-0272-02-06-2026-DG.pdf</t>
  </si>
  <si>
    <t>RESOLUCION-0038-10-06-2026-RN.pdf</t>
  </si>
  <si>
    <t>AUTO-0230-30-06-2026-RN.pdf</t>
  </si>
  <si>
    <t>ERCO
ENERGIA S.A.S</t>
  </si>
  <si>
    <t>AUTO-0221-26-06-2026-RN.pdf</t>
  </si>
  <si>
    <t>AUTO-0220-26-06-2026-RN.pdf</t>
  </si>
  <si>
    <t>AUTO-0219-25-06-2026-RN.pdf</t>
  </si>
  <si>
    <t>AUTO-0216-24-06-2026-RN.pdf</t>
  </si>
  <si>
    <t>AUTO-0215-22-06-2026-RN.pdf</t>
  </si>
  <si>
    <t>AUTO-0214-22-06-2026-RN.pdf</t>
  </si>
  <si>
    <t>INVERSIONES GLP SAS ESP</t>
  </si>
  <si>
    <t>AUTO-0199-16-06-2026-RN.pdf</t>
  </si>
  <si>
    <t>AUTO-0192-10-06-2026-RN.pdf</t>
  </si>
  <si>
    <t>AUTO-0191-10-06-2026-RN.pdf</t>
  </si>
  <si>
    <t>AUTO-0190-09-06-2026-RN.pdf</t>
  </si>
  <si>
    <t>GLORISETH QUINTANA PABON</t>
  </si>
  <si>
    <t>AUTO-0187-04-06-2026-RN.pdf</t>
  </si>
  <si>
    <t>RODOLFO CALDERÓN OROZCO</t>
  </si>
  <si>
    <t>AUTO-0181-02-06-2026-RN.pdf</t>
  </si>
  <si>
    <t>AEREOPUERTO DE ORIENTES S.A.S</t>
  </si>
  <si>
    <t>RESOLUCION-0045-27-11-2025-RN.pdf</t>
  </si>
  <si>
    <t>RESOLUCION-0044-19-11-2025-RN.pdf</t>
  </si>
  <si>
    <t>AUTO-0244-25-11-2025-RN.pdf</t>
  </si>
  <si>
    <t>AUTO-0242-24-11-2025-RN.pdf</t>
  </si>
  <si>
    <t>AUTO-0241-24-11-2025-RN.pdf</t>
  </si>
  <si>
    <t>AUTO-0240-24-11-2025-RN.pdf</t>
  </si>
  <si>
    <t>AUTO-0237-19-11-2025-RN.pdf</t>
  </si>
  <si>
    <t>AUTO-0238-21-11-2025-RN.pdf</t>
  </si>
  <si>
    <t>AUTO-0226-13-11-2025-RN.pdf</t>
  </si>
  <si>
    <t>AUTO-0215-10-11-2025-RN.pdf</t>
  </si>
  <si>
    <t>AUTO-0220-12-11-2025-RN.pdf</t>
  </si>
  <si>
    <t>AUTO-0219-12-11-2025-RN.pdf</t>
  </si>
  <si>
    <t>AUTO-0217-10-11-2025-RN.pdf</t>
  </si>
  <si>
    <t>AUTO-0216-10-11-2025-RN.pdf</t>
  </si>
  <si>
    <t>AUTO-0213-05-11-2025-RN.pdf</t>
  </si>
  <si>
    <t>RESOLUCION-0527-11-11-2025-DG.pdf</t>
  </si>
  <si>
    <t>AUTO-0208-14-11-2025-JA.pdf</t>
  </si>
  <si>
    <t>TRANSPORTADORA DE GAS
INTERNACIONAL S.A</t>
  </si>
  <si>
    <t>RESOLUCION-0230-28-04-2026-DG.pdf</t>
  </si>
  <si>
    <t>RESOLUCION-0174-17-04-2026-DG.pdf</t>
  </si>
  <si>
    <t>RESOLUCION-0022-13-04-2026-RN.pdf</t>
  </si>
  <si>
    <t>AUTO-0144-28-04-2026-RN.pdf</t>
  </si>
  <si>
    <t>AUTO-0123-21-04-2026-RN.pdf</t>
  </si>
  <si>
    <t>AUTO-0122-14-04-2026-RN.pdf</t>
  </si>
  <si>
    <t>AUTO-0120-14-04-2026-RN.pdf</t>
  </si>
  <si>
    <t>AUTO-0119-13-04-2026-RN.pdf</t>
  </si>
  <si>
    <t>AUTO-0118-13-04-2026-RN.pdf</t>
  </si>
  <si>
    <t>AUTO-0117-09-04-2026-RN.pdf</t>
  </si>
  <si>
    <t>AUTO-0116-09-04-2026-RN.pdf</t>
  </si>
  <si>
    <t>INVERSIONES GUATAPURI SAS</t>
  </si>
  <si>
    <t>AUTO-0115-08-04-2026-RN.pdf</t>
  </si>
  <si>
    <t>AUTO-0114-07-04-2026-RN.pdf</t>
  </si>
  <si>
    <t>AUTO-0113-06-04-2026-RN.pdf</t>
  </si>
  <si>
    <t>AUTO-0112-06-04-2026-RN.pdf</t>
  </si>
  <si>
    <t>AUTOPISTA DEL RIO
GRANDE S.A.S</t>
  </si>
  <si>
    <t>AUTO-0111-06-04-2026-RN.pdf</t>
  </si>
  <si>
    <t>RESOLUCION-0027-15-05-2026-RN.pdf</t>
  </si>
  <si>
    <t>HERNÁN
EDUARDO BAQUERO RODRIGUEZ</t>
  </si>
  <si>
    <t>RESOLUCION-0026-15-05-2026-RN.pdf</t>
  </si>
  <si>
    <t>RESOLUCION-0025-08-05-2026-RN.pdf</t>
  </si>
  <si>
    <t>JUAN DANIEL ROJAS MEJÍA.</t>
  </si>
  <si>
    <t>AUTO-0183-28-05-2026-RN.pdf</t>
  </si>
  <si>
    <t>AUTO-0182-28-05-2026-RN.pdf</t>
  </si>
  <si>
    <t>LA ESTACIÓN SOLAR S.A.S E.S.P</t>
  </si>
  <si>
    <t>AUTO-0158-21-05-2026-RN.pdf</t>
  </si>
  <si>
    <t>PARQUE SOLAR EL UNIÓN S.A.S E.S.P</t>
  </si>
  <si>
    <t>AUTO-0157-21-05-2026-RN.pdf</t>
  </si>
  <si>
    <t>AUTO-0155-20-05-2026-RN.pdf</t>
  </si>
  <si>
    <t>AUTO-0152-19-05-2026-RN.pdf</t>
  </si>
  <si>
    <t>BUEN FUTURO LIMITADA Y
COMPAÑÍA S.C.A</t>
  </si>
  <si>
    <t>AUTO-0146-08-05-2026-RN.pdf</t>
  </si>
  <si>
    <t>AUTO-0145-06-05-2026-RN.pdf</t>
  </si>
  <si>
    <t>RESOLUCION-0007-23-02-2026-CURUMANI.pdf</t>
  </si>
  <si>
    <t>Seccional Curumani</t>
  </si>
  <si>
    <t>MARIA TERESA ORTIZ MOLINA</t>
  </si>
  <si>
    <t>RESOLUCION-0002-16-01-2026-CURUMANI.pdf</t>
  </si>
  <si>
    <t>PEDRO MIGUEL LOZANO ORTIZ</t>
  </si>
  <si>
    <t>RESOLUCION-0001-14-01-2026-CURUMANI.pdf</t>
  </si>
  <si>
    <t>VICTOR ENRIQUE FUENTES JIMENEZ</t>
  </si>
  <si>
    <t>AUTO-0031-25-08-2026-CURUMANI.pdf</t>
  </si>
  <si>
    <t>JOSE DEL CARMEN SUAREZ INFANTE</t>
  </si>
  <si>
    <t>AUTO-0006-05-02-2026-CURUMANI.pdf</t>
  </si>
  <si>
    <t>RESOLUCION-0027-24-07-2026-AGUACHICA.pdf</t>
  </si>
  <si>
    <t>Seccional Aguachica</t>
  </si>
  <si>
    <t>RESOLUCION-0014-05-05-2026-AGUACHICA.pdf</t>
  </si>
  <si>
    <t>ORLANDO ANTONIO
AGUILAR QUINTERO</t>
  </si>
  <si>
    <t>RESOLUCION-0010-20-04-2026-AGUACHICA.pdf</t>
  </si>
  <si>
    <t>AUTO-0268-26-08-2026-RN.pdf</t>
  </si>
  <si>
    <t>AUTO-0262-13-08-2026-RN.pdf</t>
  </si>
  <si>
    <t>ELVIA MILENA SANJUAN DÁVILA</t>
  </si>
  <si>
    <t>AUTO-0121-03-08-2026-JA.pdf</t>
  </si>
  <si>
    <t>VIVIANA GONZALEZ SANCHEZ</t>
  </si>
  <si>
    <t>RESOLUCION-0441-14-08-2026-DG.pdf</t>
  </si>
  <si>
    <t>BLACK
ORCHID SOLAR MANAGEMENT S.A.S</t>
  </si>
  <si>
    <t>RESOLUCION-0064-19-08-2026-RN.pdf</t>
  </si>
  <si>
    <t>RESOLUCION-0039-10-09-2025-RN.pdf</t>
  </si>
  <si>
    <t>FERMIN RAMÍREZ BAYONA</t>
  </si>
  <si>
    <t>RESOLUCION-0038-05-09-2025-RN.pdf</t>
  </si>
  <si>
    <t>JENNIFER ANILLO RIOS</t>
  </si>
  <si>
    <t>MARICELA BECERRA
CALDERON</t>
  </si>
  <si>
    <t>RESOLUCION-0035-05-09-2025-RN.pdf</t>
  </si>
  <si>
    <t>MARIA MARTHA
LACOUTURE MAYA</t>
  </si>
  <si>
    <t>RESOLUCION-0034-02-09-2025-RN.pdf</t>
  </si>
  <si>
    <t>SILVIA PATRICIA MARTINEZ MARTINEZ</t>
  </si>
  <si>
    <t>RESOLUCION-0033-08-09-2025-RN.pdf</t>
  </si>
  <si>
    <t>LILIA VARGAS DE MENDOZA</t>
  </si>
  <si>
    <t>AUTO-0183-12-09-2025-RN.pdf</t>
  </si>
  <si>
    <t>NESTOR JAVIER ALFARO BENITEZ</t>
  </si>
  <si>
    <t>AUTO-0182-12-09-2025-RN.pdf</t>
  </si>
  <si>
    <t>JOSE LUIS PALOMINO LOPEZ</t>
  </si>
  <si>
    <t>AUTO-0181-12-09-2025-RN.pdf</t>
  </si>
  <si>
    <t>AUTO-0180-12-09-2025-RN.pdf</t>
  </si>
  <si>
    <t>SANDRA MILENA BARAHONA VELEZ</t>
  </si>
  <si>
    <t>AUTO-0179-08-09-2025-RN.pdf</t>
  </si>
  <si>
    <t>AUTO-0178-08-09-2025-RN.pdf</t>
  </si>
  <si>
    <t>AUTO-0177-08-09-2025-RN.pdf</t>
  </si>
  <si>
    <t>AUTO-0176-08-09-2025-RN.pdf</t>
  </si>
  <si>
    <t>AUTO-0168-01-09-2025-RN.pdf</t>
  </si>
  <si>
    <t>AUTO-0167-01-09-2025-RN.pdf</t>
  </si>
  <si>
    <t>AUTO-0166-01-09-2025-RN.pdf</t>
  </si>
  <si>
    <t>AUTO-0165-01-09-2025-RN.pdf</t>
  </si>
  <si>
    <t>AUTO-0164-01-09-2025-RN.pdf</t>
  </si>
  <si>
    <t>COL AGROFORESTAL LA JAGUA ZOMAC S.A.S</t>
  </si>
  <si>
    <t>AUTO-0163-01-09-2025-RN.pdf</t>
  </si>
  <si>
    <t>SERVICONSTRUCCIONES DEL CARIBE S.A.S.</t>
  </si>
  <si>
    <t>AUTO-0127-09-09-2025-JA.pdf</t>
  </si>
  <si>
    <t>RODAS SOLAR S.A.S.</t>
  </si>
  <si>
    <t>JUNTA DE ACCION COMUNAL DE LA VEREDA LA PALIZÁ DEL CORREGIMIENTO DE NUEVAS FLORES DEL MUNICIPIO DE SAN DIEGO</t>
  </si>
  <si>
    <t>CLUB VALLEDUPAR S.A</t>
  </si>
  <si>
    <t>JUAN DANIEL ROJAS MEJIA</t>
  </si>
  <si>
    <t>CENIT TRANSPORTE Y LOGISTICA DE HIDROCARBUROS S.A.S.</t>
  </si>
  <si>
    <t>Municipio de Valledupar</t>
  </si>
  <si>
    <t>NUEVA CLINICA ARENAS</t>
  </si>
  <si>
    <t>Secretario de Obras Públicas</t>
  </si>
  <si>
    <t>Alcaldia</t>
  </si>
  <si>
    <t>Gobernacion</t>
  </si>
  <si>
    <t>ANYEL DANIELA QUIÑONEZ HUERTAS</t>
  </si>
  <si>
    <t>ALCALDÍA DEL MUNICIPIO DE VALLEDUPAR</t>
  </si>
  <si>
    <t>CONSTRUAMBIENTE S.A.S</t>
  </si>
  <si>
    <t>CORPORACION DE CIENCIA Y TECNOLOGIA PARA EL DESARROLLO DE LA INDUSTRIA NAVAL, MARITIMA Y FLUVIAL- COTECMAR</t>
  </si>
  <si>
    <t>CORPORACION DE CIENCIA Y TECNOLOGIA PARA EL DESARROLLO DE LA INDUSTRIA NAVAL, MARITIMA Y FLUVIAL- CОТЕСМАR</t>
  </si>
  <si>
    <t>ORBE SAS CONSTRUCCIONES</t>
  </si>
  <si>
    <t>OLIVIERO CARDENAS QUINTERO</t>
  </si>
  <si>
    <t>LIZANDRO JOSE VEGA ARAUJO</t>
  </si>
  <si>
    <t>Calcularon carbono/biomasa</t>
  </si>
  <si>
    <t>ANTONIO LUIS ANDRADRE ANDRADE</t>
  </si>
  <si>
    <t>SOMAYA LILI CASTRO PACHECO</t>
  </si>
  <si>
    <t>Tipo de aprovechamiento</t>
  </si>
  <si>
    <t>REDOMACOL SAS</t>
  </si>
  <si>
    <t>UNIVERSIDAD DE SANTANDER</t>
  </si>
  <si>
    <t>ATLANTICA- HIC RENOVABLES S.A.S</t>
  </si>
  <si>
    <t>Consistente</t>
  </si>
  <si>
    <t>JOSE ALBERTO GUTIERREZ MIELES</t>
  </si>
  <si>
    <t>Zona urbana</t>
  </si>
  <si>
    <t>INVERSIONES Y PROYECTOS SAS</t>
  </si>
  <si>
    <t>IMEM CONTRUCCIONES</t>
  </si>
  <si>
    <t>ESE HOSPITAL el Socorro</t>
  </si>
  <si>
    <t>UNERGY ENERGÍA DIGITAL S.A.S E.S.P,</t>
  </si>
  <si>
    <t>JUDITH DEL CARMEN GONZALES BOLAÑOS</t>
  </si>
  <si>
    <t>CONSTRUVID S.A.S</t>
  </si>
  <si>
    <t>UNIVERSIDAD NACIONAL ABIERTA Y A DISTANCIA (UNAD)</t>
  </si>
  <si>
    <t>OVIER JOSE JIMENEZ PALMERA</t>
  </si>
  <si>
    <t>MOISES EDUARDO GIL MAESTR</t>
  </si>
  <si>
    <t>CONSORCIO CONTRU-EDUCATIVO EL COPEY</t>
  </si>
  <si>
    <t>PEDRO NEL PINO PORTILLA</t>
  </si>
  <si>
    <t>LLALIME SERRANO DAZA</t>
  </si>
  <si>
    <t>ALCALDÍA DEL MUNICIPIO DE PAILITAS</t>
  </si>
  <si>
    <t>Fue la alcaldia de Curumani</t>
  </si>
  <si>
    <t>GRUPO ENERGETICO DE SANTANDER S.A.S E.S.P</t>
  </si>
  <si>
    <t>SELENA QUINTERO QUINTERO</t>
  </si>
  <si>
    <t>Fermin Ramirez Bayona</t>
  </si>
  <si>
    <t>Javier Murgas Barreto</t>
  </si>
  <si>
    <t>Elizabeth Gutiérrez</t>
  </si>
  <si>
    <t>Ricardo Rafael Fuente Jiménez</t>
  </si>
  <si>
    <t>Domestico</t>
  </si>
  <si>
    <t>EVOLUSUN COLOMBIA S.A.S</t>
  </si>
  <si>
    <t>ESE HOSPITAL EL SOCORRO</t>
  </si>
  <si>
    <t>RESOLUCION-0037-05-09-2025-RN.pdfa</t>
  </si>
  <si>
    <t>CONSORCIO CONSTRUCTOR AUTOPISTA DEL RIO GRANDE</t>
  </si>
  <si>
    <t>Resolucion</t>
  </si>
  <si>
    <t>ERCO ENERGIA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</si>
</sst>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F5B7-47DE-4BC5-A97E-98454B0A0CF4}">
  <dimension ref="A1:P178"/>
  <sheetViews>
    <sheetView tabSelected="1" zoomScale="90" zoomScaleNormal="90" workbookViewId="0">
      <pane ySplit="1" topLeftCell="A59" activePane="bottomLeft" state="frozen"/>
      <selection pane="bottomLeft" activeCell="F60" sqref="F60:F105"/>
    </sheetView>
  </sheetViews>
  <sheetFormatPr baseColWidth="10" defaultRowHeight="14.4" x14ac:dyDescent="0.3"/>
  <cols>
    <col min="1" max="1" width="34" customWidth="1"/>
    <col min="2" max="2" width="12.5546875" bestFit="1" customWidth="1"/>
    <col min="3" max="3" width="10.109375" bestFit="1" customWidth="1"/>
    <col min="4" max="4" width="23.21875" bestFit="1" customWidth="1"/>
    <col min="5" max="5" width="23.21875" customWidth="1"/>
    <col min="6" max="6" width="112.109375" bestFit="1" customWidth="1"/>
    <col min="7" max="7" width="18.44140625" bestFit="1" customWidth="1"/>
    <col min="8" max="8" width="28" bestFit="1" customWidth="1"/>
    <col min="9" max="9" width="12.33203125" bestFit="1" customWidth="1"/>
    <col min="10" max="10" width="12.77734375" bestFit="1" customWidth="1"/>
    <col min="11" max="11" width="17.21875" bestFit="1" customWidth="1"/>
    <col min="12" max="12" width="42.33203125" bestFit="1" customWidth="1"/>
    <col min="13" max="13" width="68.21875" bestFit="1" customWidth="1"/>
    <col min="14" max="14" width="27.88671875" bestFit="1" customWidth="1"/>
    <col min="15" max="15" width="14.44140625" bestFit="1" customWidth="1"/>
  </cols>
  <sheetData>
    <row r="1" spans="1:15" x14ac:dyDescent="0.3">
      <c r="A1" t="s">
        <v>33</v>
      </c>
      <c r="B1" t="s">
        <v>7</v>
      </c>
      <c r="C1" t="s">
        <v>0</v>
      </c>
      <c r="D1" t="s">
        <v>1</v>
      </c>
      <c r="E1" t="s">
        <v>287</v>
      </c>
      <c r="F1" t="s">
        <v>2</v>
      </c>
      <c r="G1" t="s">
        <v>11</v>
      </c>
      <c r="H1" t="s">
        <v>10</v>
      </c>
      <c r="I1" t="s">
        <v>3</v>
      </c>
      <c r="J1" t="s">
        <v>5</v>
      </c>
      <c r="K1" t="s">
        <v>34</v>
      </c>
      <c r="L1" t="s">
        <v>27</v>
      </c>
      <c r="M1" t="s">
        <v>35</v>
      </c>
      <c r="N1" t="s">
        <v>6</v>
      </c>
      <c r="O1" t="s">
        <v>14</v>
      </c>
    </row>
    <row r="2" spans="1:15" x14ac:dyDescent="0.3">
      <c r="A2" t="s">
        <v>38</v>
      </c>
      <c r="B2" t="s">
        <v>8</v>
      </c>
      <c r="C2" t="s">
        <v>17</v>
      </c>
      <c r="D2" t="s">
        <v>4</v>
      </c>
      <c r="F2" t="s">
        <v>267</v>
      </c>
      <c r="G2" t="s">
        <v>89</v>
      </c>
      <c r="H2" s="2"/>
      <c r="I2" s="2">
        <v>45894</v>
      </c>
      <c r="J2" s="2">
        <v>45911</v>
      </c>
      <c r="K2" s="2">
        <v>46062</v>
      </c>
      <c r="L2" t="s">
        <v>37</v>
      </c>
      <c r="M2" t="s">
        <v>37</v>
      </c>
      <c r="N2" t="s">
        <v>12</v>
      </c>
    </row>
    <row r="3" spans="1:15" x14ac:dyDescent="0.3">
      <c r="A3" t="s">
        <v>39</v>
      </c>
      <c r="B3" t="s">
        <v>8</v>
      </c>
      <c r="C3" t="s">
        <v>17</v>
      </c>
      <c r="D3" t="s">
        <v>9</v>
      </c>
      <c r="E3" t="s">
        <v>13</v>
      </c>
      <c r="F3" t="s">
        <v>268</v>
      </c>
      <c r="G3" t="s">
        <v>89</v>
      </c>
      <c r="H3" s="2">
        <v>45602</v>
      </c>
      <c r="I3" s="2">
        <v>45707</v>
      </c>
      <c r="J3" s="2"/>
      <c r="K3" s="2">
        <v>46071</v>
      </c>
      <c r="L3">
        <v>11</v>
      </c>
      <c r="M3">
        <v>35.229999999999997</v>
      </c>
      <c r="N3" t="s">
        <v>12</v>
      </c>
      <c r="O3">
        <v>1</v>
      </c>
    </row>
    <row r="4" spans="1:15" x14ac:dyDescent="0.3">
      <c r="A4" t="s">
        <v>40</v>
      </c>
      <c r="B4" t="s">
        <v>8</v>
      </c>
      <c r="C4" t="s">
        <v>17</v>
      </c>
      <c r="D4" t="s">
        <v>9</v>
      </c>
      <c r="E4" t="s">
        <v>13</v>
      </c>
      <c r="F4" t="s">
        <v>41</v>
      </c>
      <c r="G4" t="s">
        <v>95</v>
      </c>
      <c r="H4" s="2">
        <v>45954</v>
      </c>
      <c r="I4" s="2">
        <v>45973</v>
      </c>
      <c r="J4" s="2"/>
      <c r="K4" s="2">
        <v>46056</v>
      </c>
      <c r="L4">
        <v>106</v>
      </c>
      <c r="M4">
        <v>579.298</v>
      </c>
    </row>
    <row r="5" spans="1:15" x14ac:dyDescent="0.3">
      <c r="A5" t="s">
        <v>42</v>
      </c>
      <c r="B5" t="s">
        <v>8</v>
      </c>
      <c r="C5" t="s">
        <v>16</v>
      </c>
      <c r="D5" t="s">
        <v>9</v>
      </c>
      <c r="F5" t="s">
        <v>43</v>
      </c>
      <c r="G5" t="s">
        <v>89</v>
      </c>
      <c r="H5" s="2">
        <v>46051</v>
      </c>
      <c r="I5" s="2">
        <v>46080</v>
      </c>
      <c r="J5" s="2"/>
      <c r="K5" s="2"/>
    </row>
    <row r="6" spans="1:15" x14ac:dyDescent="0.3">
      <c r="A6" t="s">
        <v>45</v>
      </c>
      <c r="B6" t="s">
        <v>8</v>
      </c>
      <c r="C6" t="s">
        <v>16</v>
      </c>
      <c r="D6" t="s">
        <v>9</v>
      </c>
      <c r="F6" t="s">
        <v>28</v>
      </c>
      <c r="G6" t="s">
        <v>89</v>
      </c>
      <c r="H6" s="2">
        <v>45939</v>
      </c>
      <c r="I6" s="2">
        <v>46078</v>
      </c>
      <c r="J6" s="2"/>
      <c r="K6" s="2"/>
    </row>
    <row r="7" spans="1:15" x14ac:dyDescent="0.3">
      <c r="A7" t="s">
        <v>46</v>
      </c>
      <c r="B7" t="s">
        <v>8</v>
      </c>
      <c r="C7" t="s">
        <v>16</v>
      </c>
      <c r="D7" t="s">
        <v>9</v>
      </c>
      <c r="F7" t="s">
        <v>28</v>
      </c>
      <c r="G7" t="s">
        <v>89</v>
      </c>
      <c r="H7" s="2">
        <v>45982</v>
      </c>
      <c r="I7" s="2">
        <v>46078</v>
      </c>
      <c r="J7" s="2"/>
      <c r="K7" s="2"/>
    </row>
    <row r="8" spans="1:15" x14ac:dyDescent="0.3">
      <c r="A8" t="s">
        <v>47</v>
      </c>
      <c r="B8" t="s">
        <v>8</v>
      </c>
      <c r="C8" t="s">
        <v>16</v>
      </c>
      <c r="D8" t="s">
        <v>9</v>
      </c>
      <c r="F8" t="s">
        <v>28</v>
      </c>
      <c r="G8" t="s">
        <v>89</v>
      </c>
      <c r="H8" s="2">
        <v>45986</v>
      </c>
      <c r="I8" s="2">
        <v>46078</v>
      </c>
      <c r="J8" s="2"/>
      <c r="K8" s="2"/>
    </row>
    <row r="9" spans="1:15" x14ac:dyDescent="0.3">
      <c r="A9" t="s">
        <v>48</v>
      </c>
      <c r="B9" t="s">
        <v>8</v>
      </c>
      <c r="C9" t="s">
        <v>16</v>
      </c>
      <c r="D9" t="s">
        <v>9</v>
      </c>
      <c r="F9" t="s">
        <v>28</v>
      </c>
      <c r="G9" t="s">
        <v>89</v>
      </c>
      <c r="H9" s="2">
        <v>45988</v>
      </c>
      <c r="I9" s="2">
        <v>46078</v>
      </c>
      <c r="J9" s="2"/>
      <c r="K9" s="2"/>
    </row>
    <row r="10" spans="1:15" x14ac:dyDescent="0.3">
      <c r="A10" t="s">
        <v>49</v>
      </c>
      <c r="B10" t="s">
        <v>8</v>
      </c>
      <c r="C10" t="s">
        <v>16</v>
      </c>
      <c r="D10" t="s">
        <v>9</v>
      </c>
      <c r="F10" t="s">
        <v>50</v>
      </c>
      <c r="G10" t="s">
        <v>89</v>
      </c>
      <c r="H10" s="2"/>
      <c r="I10" s="2">
        <v>46069</v>
      </c>
      <c r="J10" s="2"/>
      <c r="K10" s="2"/>
    </row>
    <row r="11" spans="1:15" x14ac:dyDescent="0.3">
      <c r="A11" t="s">
        <v>52</v>
      </c>
      <c r="B11" t="s">
        <v>8</v>
      </c>
      <c r="C11" t="s">
        <v>16</v>
      </c>
      <c r="D11" t="s">
        <v>9</v>
      </c>
      <c r="F11" t="s">
        <v>318</v>
      </c>
      <c r="G11" t="s">
        <v>89</v>
      </c>
      <c r="H11" s="2"/>
      <c r="I11" s="2">
        <v>45392</v>
      </c>
      <c r="J11" s="2">
        <v>45402</v>
      </c>
      <c r="K11" s="2">
        <v>45604</v>
      </c>
    </row>
    <row r="12" spans="1:15" x14ac:dyDescent="0.3">
      <c r="A12" t="s">
        <v>53</v>
      </c>
      <c r="B12" t="s">
        <v>8</v>
      </c>
      <c r="C12" t="s">
        <v>16</v>
      </c>
      <c r="D12" t="s">
        <v>9</v>
      </c>
      <c r="F12" t="s">
        <v>54</v>
      </c>
      <c r="G12" t="s">
        <v>89</v>
      </c>
      <c r="H12" s="2">
        <v>45974</v>
      </c>
      <c r="I12" s="2">
        <v>46063</v>
      </c>
      <c r="J12" s="2"/>
      <c r="K12" s="2"/>
    </row>
    <row r="13" spans="1:15" x14ac:dyDescent="0.3">
      <c r="A13" t="s">
        <v>55</v>
      </c>
      <c r="B13" t="s">
        <v>8</v>
      </c>
      <c r="C13" t="s">
        <v>16</v>
      </c>
      <c r="D13" t="s">
        <v>9</v>
      </c>
      <c r="E13" t="s">
        <v>15</v>
      </c>
      <c r="F13" t="s">
        <v>290</v>
      </c>
      <c r="G13" t="s">
        <v>89</v>
      </c>
      <c r="H13" s="2">
        <v>46042</v>
      </c>
      <c r="I13" s="2">
        <v>46062</v>
      </c>
      <c r="J13" s="2"/>
      <c r="K13" s="2"/>
      <c r="N13" t="s">
        <v>12</v>
      </c>
    </row>
    <row r="14" spans="1:15" x14ac:dyDescent="0.3">
      <c r="A14" t="s">
        <v>56</v>
      </c>
      <c r="B14" t="s">
        <v>8</v>
      </c>
      <c r="C14" t="s">
        <v>16</v>
      </c>
      <c r="D14" t="s">
        <v>9</v>
      </c>
      <c r="F14" t="s">
        <v>19</v>
      </c>
      <c r="G14" t="s">
        <v>89</v>
      </c>
      <c r="H14" s="2"/>
      <c r="I14" s="2">
        <v>46062</v>
      </c>
      <c r="J14" s="2"/>
      <c r="K14" s="2"/>
    </row>
    <row r="15" spans="1:15" x14ac:dyDescent="0.3">
      <c r="A15" t="s">
        <v>57</v>
      </c>
      <c r="B15" t="s">
        <v>8</v>
      </c>
      <c r="C15" t="s">
        <v>16</v>
      </c>
      <c r="D15" t="s">
        <v>9</v>
      </c>
      <c r="F15" t="s">
        <v>58</v>
      </c>
      <c r="G15" t="s">
        <v>95</v>
      </c>
      <c r="H15" s="2"/>
      <c r="I15" s="2">
        <v>46062</v>
      </c>
      <c r="J15" s="2"/>
      <c r="K15" s="2"/>
    </row>
    <row r="16" spans="1:15" x14ac:dyDescent="0.3">
      <c r="A16" t="s">
        <v>59</v>
      </c>
      <c r="B16" t="s">
        <v>8</v>
      </c>
      <c r="C16" t="s">
        <v>16</v>
      </c>
      <c r="D16" t="s">
        <v>9</v>
      </c>
      <c r="F16" t="s">
        <v>26</v>
      </c>
      <c r="G16" t="s">
        <v>89</v>
      </c>
      <c r="H16" s="2"/>
      <c r="I16" s="2">
        <v>46062</v>
      </c>
      <c r="J16" s="2"/>
      <c r="K16" s="2"/>
    </row>
    <row r="17" spans="1:15" x14ac:dyDescent="0.3">
      <c r="A17" t="s">
        <v>60</v>
      </c>
      <c r="B17" t="s">
        <v>8</v>
      </c>
      <c r="C17" t="s">
        <v>16</v>
      </c>
      <c r="D17" t="s">
        <v>9</v>
      </c>
      <c r="F17" t="s">
        <v>20</v>
      </c>
      <c r="G17" t="s">
        <v>89</v>
      </c>
      <c r="H17" s="2"/>
      <c r="I17" s="2">
        <v>46062</v>
      </c>
      <c r="J17" s="2"/>
      <c r="K17" s="2"/>
    </row>
    <row r="18" spans="1:15" x14ac:dyDescent="0.3">
      <c r="A18" t="s">
        <v>61</v>
      </c>
      <c r="B18" t="s">
        <v>8</v>
      </c>
      <c r="C18" t="s">
        <v>16</v>
      </c>
      <c r="D18" t="s">
        <v>9</v>
      </c>
      <c r="F18" t="s">
        <v>21</v>
      </c>
      <c r="G18" t="s">
        <v>89</v>
      </c>
      <c r="H18" s="2">
        <v>46041</v>
      </c>
      <c r="I18" s="2">
        <v>46059</v>
      </c>
      <c r="J18" s="2"/>
      <c r="K18" s="2"/>
    </row>
    <row r="19" spans="1:15" x14ac:dyDescent="0.3">
      <c r="A19" t="s">
        <v>62</v>
      </c>
      <c r="B19" t="s">
        <v>8</v>
      </c>
      <c r="C19" t="s">
        <v>16</v>
      </c>
      <c r="D19" t="s">
        <v>9</v>
      </c>
      <c r="F19" t="s">
        <v>63</v>
      </c>
      <c r="G19" t="s">
        <v>95</v>
      </c>
      <c r="H19" s="2">
        <v>46020</v>
      </c>
      <c r="I19" s="2">
        <v>46076</v>
      </c>
      <c r="J19" s="2"/>
      <c r="K19" s="2"/>
    </row>
    <row r="20" spans="1:15" x14ac:dyDescent="0.3">
      <c r="A20" t="s">
        <v>64</v>
      </c>
      <c r="B20" t="s">
        <v>8</v>
      </c>
      <c r="C20" t="s">
        <v>16</v>
      </c>
      <c r="D20" t="s">
        <v>9</v>
      </c>
      <c r="F20" t="s">
        <v>65</v>
      </c>
      <c r="G20" t="s">
        <v>95</v>
      </c>
      <c r="H20" s="2">
        <v>45975</v>
      </c>
      <c r="I20" s="2">
        <v>46028</v>
      </c>
      <c r="J20" s="2"/>
      <c r="K20" s="2"/>
    </row>
    <row r="21" spans="1:15" x14ac:dyDescent="0.3">
      <c r="A21" t="s">
        <v>66</v>
      </c>
      <c r="B21" t="s">
        <v>8</v>
      </c>
      <c r="C21" t="s">
        <v>16</v>
      </c>
      <c r="D21" t="s">
        <v>9</v>
      </c>
      <c r="F21" t="s">
        <v>269</v>
      </c>
      <c r="G21" t="s">
        <v>95</v>
      </c>
      <c r="H21" s="2">
        <v>46001</v>
      </c>
      <c r="I21" s="2">
        <v>46050</v>
      </c>
      <c r="J21" s="2"/>
      <c r="K21" s="2"/>
      <c r="N21" t="s">
        <v>12</v>
      </c>
      <c r="O21">
        <v>1</v>
      </c>
    </row>
    <row r="22" spans="1:15" x14ac:dyDescent="0.3">
      <c r="A22" t="s">
        <v>67</v>
      </c>
      <c r="B22" t="s">
        <v>8</v>
      </c>
      <c r="C22" t="s">
        <v>16</v>
      </c>
      <c r="D22" t="s">
        <v>9</v>
      </c>
      <c r="F22" t="s">
        <v>28</v>
      </c>
      <c r="G22" t="s">
        <v>89</v>
      </c>
      <c r="H22" s="2">
        <v>46013</v>
      </c>
      <c r="I22" s="2">
        <v>46051</v>
      </c>
      <c r="J22" s="2"/>
      <c r="K22" s="2"/>
    </row>
    <row r="23" spans="1:15" x14ac:dyDescent="0.3">
      <c r="A23" t="s">
        <v>68</v>
      </c>
      <c r="B23" t="s">
        <v>8</v>
      </c>
      <c r="C23" t="s">
        <v>17</v>
      </c>
      <c r="D23" t="s">
        <v>9</v>
      </c>
      <c r="F23" t="s">
        <v>69</v>
      </c>
      <c r="G23" t="s">
        <v>95</v>
      </c>
      <c r="H23" s="2">
        <v>46037</v>
      </c>
      <c r="I23" s="2"/>
      <c r="J23" s="2"/>
      <c r="K23" s="2">
        <v>46050</v>
      </c>
      <c r="L23">
        <v>1</v>
      </c>
      <c r="M23">
        <v>0.72</v>
      </c>
    </row>
    <row r="24" spans="1:15" x14ac:dyDescent="0.3">
      <c r="A24" t="s">
        <v>70</v>
      </c>
      <c r="B24" t="s">
        <v>8</v>
      </c>
      <c r="C24" t="s">
        <v>17</v>
      </c>
      <c r="D24" t="s">
        <v>9</v>
      </c>
      <c r="F24" t="s">
        <v>71</v>
      </c>
      <c r="G24" t="s">
        <v>89</v>
      </c>
      <c r="H24" s="2">
        <v>45953</v>
      </c>
      <c r="I24" s="2"/>
      <c r="J24" s="2"/>
      <c r="K24" s="2">
        <v>46050</v>
      </c>
      <c r="L24">
        <v>2</v>
      </c>
      <c r="M24">
        <v>1E-3</v>
      </c>
    </row>
    <row r="25" spans="1:15" x14ac:dyDescent="0.3">
      <c r="A25" t="s">
        <v>72</v>
      </c>
      <c r="B25" t="s">
        <v>8</v>
      </c>
      <c r="C25" t="s">
        <v>16</v>
      </c>
      <c r="D25" t="s">
        <v>9</v>
      </c>
      <c r="E25" t="s">
        <v>13</v>
      </c>
      <c r="F25" t="s">
        <v>29</v>
      </c>
      <c r="G25" t="s">
        <v>89</v>
      </c>
      <c r="H25" s="2">
        <v>46043</v>
      </c>
      <c r="I25" s="2">
        <v>46083</v>
      </c>
      <c r="J25" s="2"/>
      <c r="K25" s="2"/>
    </row>
    <row r="26" spans="1:15" x14ac:dyDescent="0.3">
      <c r="A26" t="s">
        <v>73</v>
      </c>
      <c r="B26" t="s">
        <v>8</v>
      </c>
      <c r="C26" t="s">
        <v>17</v>
      </c>
      <c r="D26" t="s">
        <v>4</v>
      </c>
      <c r="F26" t="s">
        <v>25</v>
      </c>
      <c r="G26" t="s">
        <v>89</v>
      </c>
      <c r="H26" s="2"/>
      <c r="I26" s="2">
        <v>45874</v>
      </c>
      <c r="J26" s="2">
        <v>45891</v>
      </c>
      <c r="K26" s="2">
        <v>46097</v>
      </c>
      <c r="L26" t="s">
        <v>37</v>
      </c>
      <c r="M26" t="s">
        <v>37</v>
      </c>
      <c r="N26" t="s">
        <v>12</v>
      </c>
    </row>
    <row r="27" spans="1:15" x14ac:dyDescent="0.3">
      <c r="A27" t="s">
        <v>74</v>
      </c>
      <c r="B27" t="s">
        <v>8</v>
      </c>
      <c r="C27" t="s">
        <v>17</v>
      </c>
      <c r="D27" t="s">
        <v>9</v>
      </c>
      <c r="E27" t="s">
        <v>15</v>
      </c>
      <c r="F27" t="s">
        <v>30</v>
      </c>
      <c r="G27" t="s">
        <v>89</v>
      </c>
      <c r="H27" s="2">
        <v>46009</v>
      </c>
      <c r="I27" s="2">
        <v>46083</v>
      </c>
      <c r="J27" s="2"/>
      <c r="K27" s="2">
        <v>46248</v>
      </c>
      <c r="L27">
        <v>557</v>
      </c>
      <c r="M27">
        <v>301.72000000000003</v>
      </c>
      <c r="N27" t="s">
        <v>12</v>
      </c>
    </row>
    <row r="28" spans="1:15" x14ac:dyDescent="0.3">
      <c r="A28" t="s">
        <v>75</v>
      </c>
      <c r="B28" t="s">
        <v>8</v>
      </c>
      <c r="C28" t="s">
        <v>16</v>
      </c>
      <c r="D28" t="s">
        <v>9</v>
      </c>
      <c r="F28" t="s">
        <v>28</v>
      </c>
      <c r="G28" t="s">
        <v>89</v>
      </c>
      <c r="H28" s="2">
        <v>46085</v>
      </c>
      <c r="I28" s="2">
        <v>46099</v>
      </c>
      <c r="J28" s="2"/>
      <c r="K28" s="2"/>
    </row>
    <row r="29" spans="1:15" x14ac:dyDescent="0.3">
      <c r="A29" t="s">
        <v>76</v>
      </c>
      <c r="B29" t="s">
        <v>8</v>
      </c>
      <c r="C29" t="s">
        <v>17</v>
      </c>
      <c r="D29" t="s">
        <v>9</v>
      </c>
      <c r="E29" t="s">
        <v>13</v>
      </c>
      <c r="F29" t="s">
        <v>26</v>
      </c>
      <c r="G29" t="s">
        <v>89</v>
      </c>
      <c r="H29" s="2">
        <v>46008</v>
      </c>
      <c r="I29" s="2">
        <v>46062</v>
      </c>
      <c r="J29" s="2"/>
      <c r="K29" s="2">
        <v>46090</v>
      </c>
      <c r="L29">
        <v>1</v>
      </c>
      <c r="M29">
        <v>29.981999999999999</v>
      </c>
    </row>
    <row r="30" spans="1:15" x14ac:dyDescent="0.3">
      <c r="A30" t="s">
        <v>77</v>
      </c>
      <c r="B30" t="s">
        <v>8</v>
      </c>
      <c r="C30" t="s">
        <v>17</v>
      </c>
      <c r="D30" t="s">
        <v>4</v>
      </c>
      <c r="F30" t="s">
        <v>270</v>
      </c>
      <c r="G30" t="s">
        <v>89</v>
      </c>
      <c r="H30" s="2"/>
      <c r="I30" s="2">
        <v>45520</v>
      </c>
      <c r="J30" s="2">
        <v>45546</v>
      </c>
      <c r="K30" s="2">
        <v>46100</v>
      </c>
      <c r="L30" t="s">
        <v>37</v>
      </c>
      <c r="M30" t="s">
        <v>37</v>
      </c>
      <c r="N30" t="s">
        <v>12</v>
      </c>
    </row>
    <row r="31" spans="1:15" x14ac:dyDescent="0.3">
      <c r="A31" t="s">
        <v>78</v>
      </c>
      <c r="B31" t="s">
        <v>8</v>
      </c>
      <c r="C31" t="s">
        <v>17</v>
      </c>
      <c r="D31" t="s">
        <v>9</v>
      </c>
      <c r="E31" t="s">
        <v>13</v>
      </c>
      <c r="F31" t="s">
        <v>20</v>
      </c>
      <c r="G31" t="s">
        <v>89</v>
      </c>
      <c r="H31" s="2">
        <v>45938</v>
      </c>
      <c r="I31" s="2">
        <v>46062</v>
      </c>
      <c r="J31" s="2"/>
      <c r="K31" s="2">
        <v>46097</v>
      </c>
      <c r="L31">
        <v>15</v>
      </c>
      <c r="M31">
        <v>82.825000000000003</v>
      </c>
    </row>
    <row r="32" spans="1:15" x14ac:dyDescent="0.3">
      <c r="A32" t="s">
        <v>79</v>
      </c>
      <c r="B32" t="s">
        <v>8</v>
      </c>
      <c r="C32" t="s">
        <v>17</v>
      </c>
      <c r="D32" t="s">
        <v>4</v>
      </c>
      <c r="F32" t="s">
        <v>23</v>
      </c>
      <c r="G32" t="s">
        <v>89</v>
      </c>
      <c r="H32" s="2"/>
      <c r="I32" s="2"/>
      <c r="J32" s="2"/>
      <c r="K32" s="2">
        <v>46100</v>
      </c>
      <c r="L32" t="s">
        <v>37</v>
      </c>
      <c r="M32" t="s">
        <v>37</v>
      </c>
      <c r="N32" t="s">
        <v>12</v>
      </c>
    </row>
    <row r="33" spans="1:15" x14ac:dyDescent="0.3">
      <c r="A33" t="s">
        <v>80</v>
      </c>
      <c r="B33" t="s">
        <v>8</v>
      </c>
      <c r="C33" t="s">
        <v>17</v>
      </c>
      <c r="D33" t="s">
        <v>4</v>
      </c>
      <c r="F33" t="s">
        <v>24</v>
      </c>
      <c r="G33" t="s">
        <v>89</v>
      </c>
      <c r="H33" s="2"/>
      <c r="I33" s="2">
        <v>45874</v>
      </c>
      <c r="J33" s="2">
        <v>45903</v>
      </c>
      <c r="K33" s="2">
        <v>46099</v>
      </c>
      <c r="L33" t="s">
        <v>37</v>
      </c>
      <c r="M33" t="s">
        <v>37</v>
      </c>
      <c r="N33" t="s">
        <v>12</v>
      </c>
    </row>
    <row r="34" spans="1:15" x14ac:dyDescent="0.3">
      <c r="A34" t="s">
        <v>81</v>
      </c>
      <c r="B34" t="s">
        <v>8</v>
      </c>
      <c r="C34" t="s">
        <v>17</v>
      </c>
      <c r="D34" t="s">
        <v>9</v>
      </c>
      <c r="E34" t="s">
        <v>15</v>
      </c>
      <c r="F34" t="s">
        <v>24</v>
      </c>
      <c r="G34" t="s">
        <v>89</v>
      </c>
      <c r="H34" s="2">
        <v>45754</v>
      </c>
      <c r="I34" s="2">
        <v>45883</v>
      </c>
      <c r="J34" s="2"/>
      <c r="K34" s="2">
        <v>46105</v>
      </c>
      <c r="L34" s="1">
        <v>239</v>
      </c>
      <c r="M34">
        <v>5558.38</v>
      </c>
    </row>
    <row r="35" spans="1:15" x14ac:dyDescent="0.3">
      <c r="A35" t="s">
        <v>82</v>
      </c>
      <c r="B35" t="s">
        <v>8</v>
      </c>
      <c r="C35" t="s">
        <v>17</v>
      </c>
      <c r="D35" t="s">
        <v>4</v>
      </c>
      <c r="F35" t="s">
        <v>271</v>
      </c>
      <c r="G35" t="s">
        <v>89</v>
      </c>
      <c r="H35" s="2"/>
      <c r="I35" s="2">
        <v>45946</v>
      </c>
      <c r="J35" s="2">
        <v>45971</v>
      </c>
      <c r="K35" s="2">
        <v>46100</v>
      </c>
      <c r="L35" t="s">
        <v>37</v>
      </c>
      <c r="M35" t="s">
        <v>37</v>
      </c>
      <c r="N35" t="s">
        <v>12</v>
      </c>
    </row>
    <row r="36" spans="1:15" x14ac:dyDescent="0.3">
      <c r="A36" t="s">
        <v>83</v>
      </c>
      <c r="B36" t="s">
        <v>8</v>
      </c>
      <c r="C36" t="s">
        <v>17</v>
      </c>
      <c r="D36" t="s">
        <v>4</v>
      </c>
      <c r="F36" t="s">
        <v>270</v>
      </c>
      <c r="G36" t="s">
        <v>89</v>
      </c>
      <c r="H36" s="2"/>
      <c r="I36" s="2">
        <v>45520</v>
      </c>
      <c r="J36" s="2">
        <v>45574</v>
      </c>
      <c r="K36" s="2">
        <v>46100</v>
      </c>
      <c r="L36" t="s">
        <v>37</v>
      </c>
      <c r="M36" t="s">
        <v>37</v>
      </c>
      <c r="N36" t="s">
        <v>12</v>
      </c>
    </row>
    <row r="37" spans="1:15" x14ac:dyDescent="0.3">
      <c r="A37" t="s">
        <v>84</v>
      </c>
      <c r="B37" t="s">
        <v>8</v>
      </c>
      <c r="C37" t="s">
        <v>17</v>
      </c>
      <c r="D37" t="s">
        <v>36</v>
      </c>
      <c r="F37" t="s">
        <v>85</v>
      </c>
      <c r="G37" t="s">
        <v>89</v>
      </c>
      <c r="H37" s="2"/>
      <c r="I37" s="2"/>
      <c r="J37" s="2"/>
      <c r="K37" s="2">
        <v>46105</v>
      </c>
      <c r="L37" t="s">
        <v>37</v>
      </c>
      <c r="M37" t="s">
        <v>37</v>
      </c>
      <c r="N37" t="s">
        <v>12</v>
      </c>
    </row>
    <row r="38" spans="1:15" x14ac:dyDescent="0.3">
      <c r="A38" t="s">
        <v>86</v>
      </c>
      <c r="B38" t="s">
        <v>8</v>
      </c>
      <c r="C38" t="s">
        <v>17</v>
      </c>
      <c r="D38" t="s">
        <v>4</v>
      </c>
      <c r="F38" t="s">
        <v>270</v>
      </c>
      <c r="G38" t="s">
        <v>89</v>
      </c>
      <c r="H38" s="2"/>
      <c r="I38" s="2">
        <v>45821</v>
      </c>
      <c r="J38" s="2">
        <v>45861</v>
      </c>
      <c r="K38" s="2">
        <v>46105</v>
      </c>
      <c r="L38" t="s">
        <v>37</v>
      </c>
      <c r="M38" t="s">
        <v>37</v>
      </c>
      <c r="N38" t="s">
        <v>12</v>
      </c>
    </row>
    <row r="39" spans="1:15" x14ac:dyDescent="0.3">
      <c r="A39" t="s">
        <v>87</v>
      </c>
      <c r="B39" t="s">
        <v>8</v>
      </c>
      <c r="C39" t="s">
        <v>17</v>
      </c>
      <c r="D39" t="s">
        <v>9</v>
      </c>
      <c r="E39" t="s">
        <v>13</v>
      </c>
      <c r="F39" t="s">
        <v>272</v>
      </c>
      <c r="G39" t="s">
        <v>89</v>
      </c>
      <c r="H39" s="2">
        <v>46118</v>
      </c>
      <c r="I39" s="2">
        <v>46150</v>
      </c>
      <c r="J39" s="2"/>
      <c r="K39" s="2"/>
      <c r="M39" t="s">
        <v>44</v>
      </c>
      <c r="N39" t="s">
        <v>12</v>
      </c>
    </row>
    <row r="40" spans="1:15" x14ac:dyDescent="0.3">
      <c r="A40" t="s">
        <v>88</v>
      </c>
      <c r="B40" t="s">
        <v>8</v>
      </c>
      <c r="C40" t="s">
        <v>17</v>
      </c>
      <c r="D40" t="s">
        <v>4</v>
      </c>
      <c r="F40" t="s">
        <v>264</v>
      </c>
      <c r="G40" t="s">
        <v>89</v>
      </c>
      <c r="H40" s="2"/>
      <c r="I40" s="2">
        <v>45692</v>
      </c>
      <c r="J40" s="2">
        <v>45713</v>
      </c>
      <c r="K40" s="2">
        <v>46014</v>
      </c>
      <c r="L40" t="s">
        <v>37</v>
      </c>
      <c r="M40" t="s">
        <v>37</v>
      </c>
      <c r="N40" t="s">
        <v>12</v>
      </c>
      <c r="O40">
        <v>1</v>
      </c>
    </row>
    <row r="41" spans="1:15" x14ac:dyDescent="0.3">
      <c r="A41" t="s">
        <v>90</v>
      </c>
      <c r="B41" t="s">
        <v>8</v>
      </c>
      <c r="C41" t="s">
        <v>17</v>
      </c>
      <c r="D41" t="s">
        <v>4</v>
      </c>
      <c r="F41" t="s">
        <v>273</v>
      </c>
      <c r="G41" t="s">
        <v>89</v>
      </c>
      <c r="H41" s="2"/>
      <c r="I41" s="2">
        <v>45967</v>
      </c>
      <c r="J41" s="2">
        <v>45980</v>
      </c>
      <c r="K41" s="2">
        <v>46014</v>
      </c>
      <c r="L41" t="s">
        <v>37</v>
      </c>
      <c r="M41" t="s">
        <v>37</v>
      </c>
      <c r="N41" t="s">
        <v>12</v>
      </c>
    </row>
    <row r="42" spans="1:15" x14ac:dyDescent="0.3">
      <c r="A42" t="s">
        <v>91</v>
      </c>
      <c r="B42" t="s">
        <v>8</v>
      </c>
      <c r="C42" t="s">
        <v>17</v>
      </c>
      <c r="D42" t="s">
        <v>4</v>
      </c>
      <c r="F42" t="s">
        <v>274</v>
      </c>
      <c r="G42" t="s">
        <v>89</v>
      </c>
      <c r="H42" s="2"/>
      <c r="I42" s="2">
        <v>45952</v>
      </c>
      <c r="J42" s="2">
        <v>45966</v>
      </c>
      <c r="K42" s="2">
        <v>46014</v>
      </c>
      <c r="L42" t="s">
        <v>37</v>
      </c>
      <c r="M42" t="s">
        <v>37</v>
      </c>
      <c r="N42" t="s">
        <v>12</v>
      </c>
    </row>
    <row r="43" spans="1:15" x14ac:dyDescent="0.3">
      <c r="A43" t="s">
        <v>92</v>
      </c>
      <c r="B43" t="s">
        <v>8</v>
      </c>
      <c r="C43" t="s">
        <v>17</v>
      </c>
      <c r="D43" t="s">
        <v>4</v>
      </c>
      <c r="F43" t="s">
        <v>274</v>
      </c>
      <c r="G43" t="s">
        <v>89</v>
      </c>
      <c r="H43" s="2"/>
      <c r="I43" s="2">
        <v>45776</v>
      </c>
      <c r="J43" s="2">
        <v>45800</v>
      </c>
      <c r="K43" s="2">
        <v>46003</v>
      </c>
      <c r="L43" t="s">
        <v>37</v>
      </c>
      <c r="M43" t="s">
        <v>37</v>
      </c>
      <c r="N43" t="s">
        <v>12</v>
      </c>
    </row>
    <row r="44" spans="1:15" x14ac:dyDescent="0.3">
      <c r="A44" t="s">
        <v>93</v>
      </c>
      <c r="B44" t="s">
        <v>8</v>
      </c>
      <c r="C44" t="s">
        <v>17</v>
      </c>
      <c r="D44" t="s">
        <v>9</v>
      </c>
      <c r="E44" t="s">
        <v>13</v>
      </c>
      <c r="F44" t="s">
        <v>94</v>
      </c>
      <c r="G44" t="s">
        <v>95</v>
      </c>
      <c r="H44" s="2">
        <v>45674</v>
      </c>
      <c r="I44" s="2">
        <v>45677</v>
      </c>
      <c r="J44" s="2"/>
      <c r="K44" s="2">
        <v>46014</v>
      </c>
      <c r="L44">
        <v>126</v>
      </c>
      <c r="M44">
        <v>1052.8</v>
      </c>
      <c r="N44" t="s">
        <v>12</v>
      </c>
    </row>
    <row r="45" spans="1:15" x14ac:dyDescent="0.3">
      <c r="A45" t="s">
        <v>96</v>
      </c>
      <c r="B45" t="s">
        <v>8</v>
      </c>
      <c r="C45" t="s">
        <v>17</v>
      </c>
      <c r="D45" t="s">
        <v>9</v>
      </c>
      <c r="E45" t="s">
        <v>13</v>
      </c>
      <c r="F45" t="s">
        <v>97</v>
      </c>
      <c r="G45" t="s">
        <v>95</v>
      </c>
      <c r="H45" s="2">
        <v>45814</v>
      </c>
      <c r="I45" s="2">
        <v>45846</v>
      </c>
      <c r="J45" s="2"/>
      <c r="K45" s="2">
        <v>46009</v>
      </c>
      <c r="L45">
        <v>1</v>
      </c>
      <c r="M45">
        <v>4.37</v>
      </c>
      <c r="N45" t="s">
        <v>12</v>
      </c>
    </row>
    <row r="46" spans="1:15" x14ac:dyDescent="0.3">
      <c r="A46" t="s">
        <v>98</v>
      </c>
      <c r="B46" t="s">
        <v>8</v>
      </c>
      <c r="C46" t="s">
        <v>17</v>
      </c>
      <c r="D46" t="s">
        <v>9</v>
      </c>
      <c r="E46" t="s">
        <v>13</v>
      </c>
      <c r="F46" t="s">
        <v>99</v>
      </c>
      <c r="G46" t="s">
        <v>89</v>
      </c>
      <c r="H46" s="2">
        <v>45967</v>
      </c>
      <c r="I46" s="2">
        <v>45974</v>
      </c>
      <c r="J46" s="2"/>
      <c r="K46" s="2">
        <v>46007</v>
      </c>
      <c r="L46">
        <v>9</v>
      </c>
      <c r="M46">
        <v>51.7</v>
      </c>
      <c r="N46" t="s">
        <v>12</v>
      </c>
    </row>
    <row r="47" spans="1:15" x14ac:dyDescent="0.3">
      <c r="A47" t="s">
        <v>100</v>
      </c>
      <c r="B47" t="s">
        <v>8</v>
      </c>
      <c r="C47" t="s">
        <v>17</v>
      </c>
      <c r="D47" t="s">
        <v>9</v>
      </c>
      <c r="E47" t="s">
        <v>13</v>
      </c>
      <c r="F47" t="s">
        <v>101</v>
      </c>
      <c r="G47" t="s">
        <v>95</v>
      </c>
      <c r="H47" s="2">
        <v>45811</v>
      </c>
      <c r="I47" s="2">
        <v>45959</v>
      </c>
      <c r="J47" s="2"/>
      <c r="K47" s="2">
        <v>45996</v>
      </c>
      <c r="L47">
        <v>1</v>
      </c>
      <c r="M47">
        <v>1.2450000000000001</v>
      </c>
      <c r="N47" t="s">
        <v>12</v>
      </c>
    </row>
    <row r="48" spans="1:15" x14ac:dyDescent="0.3">
      <c r="A48" t="s">
        <v>102</v>
      </c>
      <c r="B48" t="s">
        <v>8</v>
      </c>
      <c r="C48" t="s">
        <v>17</v>
      </c>
      <c r="D48" t="s">
        <v>9</v>
      </c>
      <c r="E48" t="s">
        <v>13</v>
      </c>
      <c r="F48" t="s">
        <v>275</v>
      </c>
      <c r="G48" t="s">
        <v>89</v>
      </c>
      <c r="H48" s="2">
        <v>45937</v>
      </c>
      <c r="I48" s="2">
        <v>45966</v>
      </c>
      <c r="J48" s="2"/>
      <c r="K48" s="2">
        <v>46001</v>
      </c>
      <c r="L48">
        <v>10</v>
      </c>
      <c r="M48">
        <v>10.949</v>
      </c>
      <c r="N48" t="s">
        <v>12</v>
      </c>
    </row>
    <row r="49" spans="1:15" x14ac:dyDescent="0.3">
      <c r="A49" t="s">
        <v>104</v>
      </c>
      <c r="B49" t="s">
        <v>8</v>
      </c>
      <c r="C49" t="s">
        <v>16</v>
      </c>
      <c r="D49" t="s">
        <v>9</v>
      </c>
      <c r="F49" t="s">
        <v>105</v>
      </c>
      <c r="G49" t="s">
        <v>36</v>
      </c>
      <c r="H49" s="2"/>
      <c r="I49" s="2">
        <v>45994</v>
      </c>
      <c r="J49" s="2"/>
      <c r="K49" s="2"/>
      <c r="L49" t="s">
        <v>37</v>
      </c>
      <c r="M49" t="s">
        <v>37</v>
      </c>
      <c r="N49" t="s">
        <v>12</v>
      </c>
    </row>
    <row r="50" spans="1:15" x14ac:dyDescent="0.3">
      <c r="A50" t="s">
        <v>106</v>
      </c>
      <c r="B50" t="s">
        <v>8</v>
      </c>
      <c r="C50" t="s">
        <v>16</v>
      </c>
      <c r="D50" t="s">
        <v>9</v>
      </c>
      <c r="F50" t="s">
        <v>101</v>
      </c>
      <c r="G50" t="s">
        <v>95</v>
      </c>
      <c r="H50" s="2">
        <v>45811</v>
      </c>
      <c r="I50" s="2">
        <v>45959</v>
      </c>
      <c r="J50" s="2"/>
      <c r="K50" s="2"/>
      <c r="L50" t="s">
        <v>37</v>
      </c>
      <c r="M50" t="s">
        <v>37</v>
      </c>
      <c r="N50" t="s">
        <v>12</v>
      </c>
    </row>
    <row r="51" spans="1:15" x14ac:dyDescent="0.3">
      <c r="A51" t="s">
        <v>107</v>
      </c>
      <c r="B51" t="s">
        <v>8</v>
      </c>
      <c r="C51" t="s">
        <v>16</v>
      </c>
      <c r="D51" t="s">
        <v>9</v>
      </c>
      <c r="E51" t="s">
        <v>13</v>
      </c>
      <c r="F51" t="s">
        <v>276</v>
      </c>
      <c r="G51" t="s">
        <v>95</v>
      </c>
      <c r="H51" s="2">
        <v>45881</v>
      </c>
      <c r="I51" s="2">
        <v>45959</v>
      </c>
      <c r="J51" s="2"/>
      <c r="K51" s="2"/>
      <c r="L51" t="s">
        <v>37</v>
      </c>
      <c r="M51" t="s">
        <v>37</v>
      </c>
      <c r="N51" t="s">
        <v>12</v>
      </c>
    </row>
    <row r="52" spans="1:15" x14ac:dyDescent="0.3">
      <c r="A52" t="s">
        <v>108</v>
      </c>
      <c r="B52" t="s">
        <v>8</v>
      </c>
      <c r="C52" t="s">
        <v>16</v>
      </c>
      <c r="D52" t="s">
        <v>9</v>
      </c>
      <c r="F52" t="s">
        <v>109</v>
      </c>
      <c r="G52" t="s">
        <v>95</v>
      </c>
      <c r="H52" s="2">
        <v>45922</v>
      </c>
      <c r="I52" s="2">
        <v>45951</v>
      </c>
      <c r="J52" s="2"/>
      <c r="K52" s="2"/>
      <c r="L52" t="s">
        <v>37</v>
      </c>
      <c r="M52" t="s">
        <v>37</v>
      </c>
      <c r="N52" t="s">
        <v>12</v>
      </c>
    </row>
    <row r="53" spans="1:15" x14ac:dyDescent="0.3">
      <c r="A53" t="s">
        <v>110</v>
      </c>
      <c r="B53" t="s">
        <v>8</v>
      </c>
      <c r="C53" t="s">
        <v>16</v>
      </c>
      <c r="D53" t="s">
        <v>9</v>
      </c>
      <c r="F53" t="s">
        <v>22</v>
      </c>
      <c r="G53" t="s">
        <v>89</v>
      </c>
      <c r="H53" s="2"/>
      <c r="I53" s="2">
        <v>45951</v>
      </c>
      <c r="J53" s="2"/>
      <c r="K53" s="2"/>
      <c r="L53" t="s">
        <v>37</v>
      </c>
      <c r="M53" t="s">
        <v>37</v>
      </c>
      <c r="N53" t="s">
        <v>12</v>
      </c>
    </row>
    <row r="54" spans="1:15" x14ac:dyDescent="0.3">
      <c r="A54" t="s">
        <v>111</v>
      </c>
      <c r="B54" t="s">
        <v>8</v>
      </c>
      <c r="C54" t="s">
        <v>16</v>
      </c>
      <c r="D54" t="s">
        <v>9</v>
      </c>
      <c r="F54" t="s">
        <v>28</v>
      </c>
      <c r="G54" t="s">
        <v>89</v>
      </c>
      <c r="H54" s="2">
        <v>45833</v>
      </c>
      <c r="I54" s="2">
        <v>45939</v>
      </c>
      <c r="J54" s="2"/>
      <c r="K54" s="2"/>
      <c r="L54" t="s">
        <v>37</v>
      </c>
      <c r="M54" t="s">
        <v>37</v>
      </c>
      <c r="N54" t="s">
        <v>12</v>
      </c>
    </row>
    <row r="55" spans="1:15" x14ac:dyDescent="0.3">
      <c r="A55" t="s">
        <v>113</v>
      </c>
      <c r="B55" t="s">
        <v>8</v>
      </c>
      <c r="C55" t="s">
        <v>16</v>
      </c>
      <c r="D55" t="s">
        <v>9</v>
      </c>
      <c r="F55" t="s">
        <v>277</v>
      </c>
      <c r="G55" t="s">
        <v>89</v>
      </c>
      <c r="H55" s="2">
        <v>45925</v>
      </c>
      <c r="I55" s="2">
        <v>45939</v>
      </c>
      <c r="J55" s="2"/>
      <c r="K55" s="2"/>
      <c r="L55" t="s">
        <v>37</v>
      </c>
      <c r="M55" t="s">
        <v>37</v>
      </c>
      <c r="N55" t="s">
        <v>12</v>
      </c>
    </row>
    <row r="56" spans="1:15" x14ac:dyDescent="0.3">
      <c r="A56" t="s">
        <v>114</v>
      </c>
      <c r="B56" t="s">
        <v>8</v>
      </c>
      <c r="C56" t="s">
        <v>17</v>
      </c>
      <c r="D56" t="s">
        <v>4</v>
      </c>
      <c r="F56" t="s">
        <v>278</v>
      </c>
      <c r="G56" t="s">
        <v>89</v>
      </c>
      <c r="H56" s="2">
        <v>45485</v>
      </c>
      <c r="I56" s="2">
        <v>45583</v>
      </c>
      <c r="J56" s="2">
        <v>45603</v>
      </c>
      <c r="K56" s="2">
        <v>45933</v>
      </c>
      <c r="L56" t="s">
        <v>37</v>
      </c>
      <c r="M56" t="s">
        <v>37</v>
      </c>
      <c r="N56" t="s">
        <v>12</v>
      </c>
      <c r="O56">
        <v>1</v>
      </c>
    </row>
    <row r="57" spans="1:15" x14ac:dyDescent="0.3">
      <c r="A57" t="s">
        <v>115</v>
      </c>
      <c r="B57" t="s">
        <v>8</v>
      </c>
      <c r="C57" t="s">
        <v>17</v>
      </c>
      <c r="D57" t="s">
        <v>4</v>
      </c>
      <c r="F57" t="s">
        <v>279</v>
      </c>
      <c r="G57" t="s">
        <v>89</v>
      </c>
      <c r="H57" s="2"/>
      <c r="I57" s="2">
        <v>45786</v>
      </c>
      <c r="J57" s="2">
        <v>45811</v>
      </c>
      <c r="K57" s="2">
        <v>45933</v>
      </c>
      <c r="L57" t="s">
        <v>37</v>
      </c>
      <c r="M57" t="s">
        <v>37</v>
      </c>
      <c r="N57" t="s">
        <v>12</v>
      </c>
      <c r="O57">
        <v>1</v>
      </c>
    </row>
    <row r="58" spans="1:15" x14ac:dyDescent="0.3">
      <c r="A58" t="s">
        <v>116</v>
      </c>
      <c r="B58" t="s">
        <v>8</v>
      </c>
      <c r="C58" t="s">
        <v>17</v>
      </c>
      <c r="D58" t="s">
        <v>4</v>
      </c>
      <c r="F58" t="s">
        <v>279</v>
      </c>
      <c r="G58" t="s">
        <v>89</v>
      </c>
      <c r="H58" s="2"/>
      <c r="I58" s="2">
        <v>45786</v>
      </c>
      <c r="J58" s="2">
        <v>45813</v>
      </c>
      <c r="K58" s="2">
        <v>45932</v>
      </c>
      <c r="L58" t="s">
        <v>37</v>
      </c>
      <c r="M58" t="s">
        <v>37</v>
      </c>
      <c r="N58" t="s">
        <v>12</v>
      </c>
      <c r="O58">
        <v>1</v>
      </c>
    </row>
    <row r="59" spans="1:15" x14ac:dyDescent="0.3">
      <c r="A59" t="s">
        <v>117</v>
      </c>
      <c r="B59" t="s">
        <v>8</v>
      </c>
      <c r="C59" t="s">
        <v>16</v>
      </c>
      <c r="D59" t="s">
        <v>4</v>
      </c>
      <c r="F59" t="s">
        <v>118</v>
      </c>
      <c r="G59" t="s">
        <v>89</v>
      </c>
      <c r="H59" s="2"/>
      <c r="I59" s="2">
        <v>45954</v>
      </c>
      <c r="J59" s="2"/>
      <c r="K59" s="2"/>
      <c r="L59" t="s">
        <v>37</v>
      </c>
      <c r="M59" t="s">
        <v>37</v>
      </c>
      <c r="N59" t="s">
        <v>12</v>
      </c>
    </row>
    <row r="60" spans="1:15" x14ac:dyDescent="0.3">
      <c r="A60" t="s">
        <v>119</v>
      </c>
      <c r="B60" t="s">
        <v>8</v>
      </c>
      <c r="C60" t="s">
        <v>16</v>
      </c>
      <c r="D60" t="s">
        <v>4</v>
      </c>
      <c r="F60" t="s">
        <v>118</v>
      </c>
      <c r="G60" t="s">
        <v>89</v>
      </c>
      <c r="H60" s="2"/>
      <c r="I60" s="2">
        <v>45954</v>
      </c>
      <c r="J60" s="2"/>
      <c r="K60" s="2"/>
      <c r="L60" t="s">
        <v>37</v>
      </c>
      <c r="M60" t="s">
        <v>37</v>
      </c>
      <c r="N60" t="s">
        <v>12</v>
      </c>
    </row>
    <row r="61" spans="1:15" x14ac:dyDescent="0.3">
      <c r="A61" t="s">
        <v>121</v>
      </c>
      <c r="B61" t="s">
        <v>8</v>
      </c>
      <c r="C61" t="s">
        <v>16</v>
      </c>
      <c r="D61" t="s">
        <v>4</v>
      </c>
      <c r="F61" t="s">
        <v>270</v>
      </c>
      <c r="G61" t="s">
        <v>89</v>
      </c>
      <c r="H61" s="2"/>
      <c r="I61" s="2">
        <v>45936</v>
      </c>
      <c r="J61" s="2"/>
      <c r="K61" s="2"/>
      <c r="L61" t="s">
        <v>37</v>
      </c>
      <c r="M61" t="s">
        <v>37</v>
      </c>
      <c r="N61" t="s">
        <v>12</v>
      </c>
    </row>
    <row r="62" spans="1:15" x14ac:dyDescent="0.3">
      <c r="A62" t="s">
        <v>122</v>
      </c>
      <c r="B62" t="s">
        <v>8</v>
      </c>
      <c r="C62" t="s">
        <v>16</v>
      </c>
      <c r="D62" t="s">
        <v>4</v>
      </c>
      <c r="F62" t="s">
        <v>123</v>
      </c>
      <c r="G62" t="s">
        <v>89</v>
      </c>
      <c r="H62" s="2"/>
      <c r="I62" s="2">
        <v>45945</v>
      </c>
      <c r="J62" s="2"/>
      <c r="K62" s="2"/>
      <c r="L62" t="s">
        <v>37</v>
      </c>
      <c r="M62" t="s">
        <v>37</v>
      </c>
      <c r="N62" t="s">
        <v>12</v>
      </c>
    </row>
    <row r="63" spans="1:15" x14ac:dyDescent="0.3">
      <c r="A63" t="s">
        <v>124</v>
      </c>
      <c r="B63" t="s">
        <v>8</v>
      </c>
      <c r="C63" t="s">
        <v>16</v>
      </c>
      <c r="D63" t="s">
        <v>4</v>
      </c>
      <c r="F63" t="s">
        <v>125</v>
      </c>
      <c r="G63" t="s">
        <v>36</v>
      </c>
      <c r="H63" s="2"/>
      <c r="I63" s="2">
        <v>45944</v>
      </c>
      <c r="J63" s="2"/>
      <c r="K63" s="2"/>
      <c r="L63" t="s">
        <v>37</v>
      </c>
      <c r="M63" t="s">
        <v>37</v>
      </c>
      <c r="N63" t="s">
        <v>12</v>
      </c>
    </row>
    <row r="64" spans="1:15" x14ac:dyDescent="0.3">
      <c r="A64" t="s">
        <v>126</v>
      </c>
      <c r="B64" t="s">
        <v>8</v>
      </c>
      <c r="C64" t="s">
        <v>16</v>
      </c>
      <c r="D64" t="s">
        <v>4</v>
      </c>
      <c r="F64" t="s">
        <v>270</v>
      </c>
      <c r="G64" t="s">
        <v>89</v>
      </c>
      <c r="H64" s="2"/>
      <c r="I64" s="2">
        <v>46224</v>
      </c>
      <c r="J64" s="2"/>
      <c r="K64" s="2"/>
      <c r="L64" t="s">
        <v>37</v>
      </c>
      <c r="M64" t="s">
        <v>37</v>
      </c>
      <c r="N64" t="s">
        <v>12</v>
      </c>
    </row>
    <row r="65" spans="1:16" x14ac:dyDescent="0.3">
      <c r="A65" t="s">
        <v>127</v>
      </c>
      <c r="B65" t="s">
        <v>8</v>
      </c>
      <c r="C65" t="s">
        <v>16</v>
      </c>
      <c r="D65" t="s">
        <v>4</v>
      </c>
      <c r="F65" t="s">
        <v>128</v>
      </c>
      <c r="G65" t="s">
        <v>89</v>
      </c>
      <c r="H65" s="2"/>
      <c r="I65" s="2">
        <v>46218</v>
      </c>
      <c r="J65" s="2"/>
      <c r="K65" s="2"/>
      <c r="L65" t="s">
        <v>37</v>
      </c>
      <c r="M65" t="s">
        <v>37</v>
      </c>
      <c r="N65" t="s">
        <v>12</v>
      </c>
    </row>
    <row r="66" spans="1:16" x14ac:dyDescent="0.3">
      <c r="A66" t="s">
        <v>129</v>
      </c>
      <c r="B66" t="s">
        <v>8</v>
      </c>
      <c r="C66" t="s">
        <v>16</v>
      </c>
      <c r="D66" t="s">
        <v>4</v>
      </c>
      <c r="F66" t="s">
        <v>128</v>
      </c>
      <c r="G66" t="s">
        <v>89</v>
      </c>
      <c r="H66" s="2"/>
      <c r="I66" s="2">
        <v>46218</v>
      </c>
      <c r="J66" s="2"/>
      <c r="K66" s="2"/>
      <c r="L66" t="s">
        <v>37</v>
      </c>
      <c r="M66" t="s">
        <v>37</v>
      </c>
      <c r="N66" t="s">
        <v>12</v>
      </c>
    </row>
    <row r="67" spans="1:16" x14ac:dyDescent="0.3">
      <c r="A67" t="s">
        <v>130</v>
      </c>
      <c r="B67" t="s">
        <v>8</v>
      </c>
      <c r="C67" t="s">
        <v>17</v>
      </c>
      <c r="D67" t="s">
        <v>9</v>
      </c>
      <c r="E67" t="s">
        <v>13</v>
      </c>
      <c r="F67" t="s">
        <v>131</v>
      </c>
      <c r="G67" t="s">
        <v>89</v>
      </c>
      <c r="H67" s="2">
        <v>46149</v>
      </c>
      <c r="I67" s="2">
        <v>46189</v>
      </c>
      <c r="J67" s="2"/>
      <c r="K67" s="2">
        <v>46233</v>
      </c>
      <c r="L67">
        <v>18</v>
      </c>
      <c r="M67">
        <v>33.58</v>
      </c>
      <c r="N67" t="s">
        <v>12</v>
      </c>
      <c r="O67">
        <v>1</v>
      </c>
    </row>
    <row r="68" spans="1:16" x14ac:dyDescent="0.3">
      <c r="A68" t="s">
        <v>132</v>
      </c>
      <c r="B68" t="s">
        <v>8</v>
      </c>
      <c r="C68" t="s">
        <v>17</v>
      </c>
      <c r="D68" t="s">
        <v>9</v>
      </c>
      <c r="E68" t="s">
        <v>13</v>
      </c>
      <c r="F68" t="s">
        <v>281</v>
      </c>
      <c r="G68" t="s">
        <v>89</v>
      </c>
      <c r="H68" s="2">
        <v>46176</v>
      </c>
      <c r="I68" s="2">
        <v>46195</v>
      </c>
      <c r="J68" s="2"/>
      <c r="K68" s="2">
        <v>46227</v>
      </c>
      <c r="L68">
        <v>12</v>
      </c>
      <c r="M68">
        <v>35.67</v>
      </c>
      <c r="N68" t="s">
        <v>12</v>
      </c>
    </row>
    <row r="69" spans="1:16" x14ac:dyDescent="0.3">
      <c r="A69" t="s">
        <v>133</v>
      </c>
      <c r="B69" t="s">
        <v>8</v>
      </c>
      <c r="C69" t="s">
        <v>17</v>
      </c>
      <c r="D69" t="s">
        <v>9</v>
      </c>
      <c r="E69" t="s">
        <v>13</v>
      </c>
      <c r="F69" t="s">
        <v>282</v>
      </c>
      <c r="G69" t="s">
        <v>95</v>
      </c>
      <c r="H69" s="2">
        <v>46049</v>
      </c>
      <c r="I69" s="2">
        <v>46198</v>
      </c>
      <c r="J69" s="2">
        <v>46204</v>
      </c>
      <c r="K69" s="2">
        <v>46220</v>
      </c>
      <c r="L69">
        <v>102</v>
      </c>
      <c r="M69">
        <v>1096.1410000000001</v>
      </c>
      <c r="N69" t="s">
        <v>12</v>
      </c>
    </row>
    <row r="70" spans="1:16" x14ac:dyDescent="0.3">
      <c r="A70" t="s">
        <v>134</v>
      </c>
      <c r="B70" t="s">
        <v>8</v>
      </c>
      <c r="C70" t="s">
        <v>17</v>
      </c>
      <c r="D70" t="s">
        <v>9</v>
      </c>
      <c r="E70" t="s">
        <v>13</v>
      </c>
      <c r="F70" t="s">
        <v>283</v>
      </c>
      <c r="G70" t="s">
        <v>95</v>
      </c>
      <c r="H70" s="2">
        <v>46224</v>
      </c>
      <c r="I70" s="2">
        <v>46162</v>
      </c>
      <c r="J70" s="2"/>
      <c r="K70" s="2">
        <v>46211</v>
      </c>
      <c r="L70">
        <v>152</v>
      </c>
      <c r="M70">
        <v>380.57100000000003</v>
      </c>
      <c r="N70" t="s">
        <v>12</v>
      </c>
    </row>
    <row r="71" spans="1:16" x14ac:dyDescent="0.3">
      <c r="A71" t="s">
        <v>136</v>
      </c>
      <c r="B71" t="s">
        <v>8</v>
      </c>
      <c r="C71" t="s">
        <v>17</v>
      </c>
      <c r="D71" t="s">
        <v>9</v>
      </c>
      <c r="E71" t="s">
        <v>15</v>
      </c>
      <c r="F71" t="s">
        <v>28</v>
      </c>
      <c r="G71" t="s">
        <v>89</v>
      </c>
      <c r="H71" s="2">
        <v>45873</v>
      </c>
      <c r="I71" s="2">
        <v>45901</v>
      </c>
      <c r="J71" s="2"/>
      <c r="K71" s="2">
        <v>46206</v>
      </c>
      <c r="L71">
        <v>4</v>
      </c>
      <c r="M71">
        <v>4.58</v>
      </c>
      <c r="N71" t="s">
        <v>12</v>
      </c>
    </row>
    <row r="72" spans="1:16" x14ac:dyDescent="0.3">
      <c r="A72" t="s">
        <v>138</v>
      </c>
      <c r="B72" t="s">
        <v>8</v>
      </c>
      <c r="C72" t="s">
        <v>17</v>
      </c>
      <c r="D72" t="s">
        <v>9</v>
      </c>
      <c r="E72" t="s">
        <v>15</v>
      </c>
      <c r="F72" t="s">
        <v>270</v>
      </c>
      <c r="G72" t="s">
        <v>89</v>
      </c>
      <c r="H72" s="2">
        <v>45448</v>
      </c>
      <c r="I72" s="2">
        <v>45527</v>
      </c>
      <c r="J72" s="2"/>
      <c r="K72" s="2">
        <v>46184</v>
      </c>
      <c r="L72">
        <v>142</v>
      </c>
      <c r="M72">
        <v>294.24</v>
      </c>
      <c r="N72" t="s">
        <v>12</v>
      </c>
      <c r="O72">
        <v>1</v>
      </c>
    </row>
    <row r="73" spans="1:16" x14ac:dyDescent="0.3">
      <c r="A73" t="s">
        <v>139</v>
      </c>
      <c r="B73" t="s">
        <v>8</v>
      </c>
      <c r="C73" t="s">
        <v>17</v>
      </c>
      <c r="D73" t="s">
        <v>9</v>
      </c>
      <c r="E73" t="s">
        <v>15</v>
      </c>
      <c r="F73" t="s">
        <v>43</v>
      </c>
      <c r="G73" t="s">
        <v>89</v>
      </c>
      <c r="H73" s="2">
        <v>46051</v>
      </c>
      <c r="I73" s="2">
        <v>46080</v>
      </c>
      <c r="J73" s="2"/>
      <c r="K73" s="2">
        <v>46184</v>
      </c>
      <c r="L73">
        <v>16</v>
      </c>
      <c r="M73">
        <v>12.025</v>
      </c>
      <c r="N73" t="s">
        <v>12</v>
      </c>
      <c r="O73">
        <v>1</v>
      </c>
      <c r="P73" t="s">
        <v>284</v>
      </c>
    </row>
    <row r="74" spans="1:16" x14ac:dyDescent="0.3">
      <c r="A74" t="s">
        <v>140</v>
      </c>
      <c r="B74" t="s">
        <v>8</v>
      </c>
      <c r="C74" t="s">
        <v>17</v>
      </c>
      <c r="D74" t="s">
        <v>9</v>
      </c>
      <c r="E74" t="s">
        <v>15</v>
      </c>
      <c r="F74" t="s">
        <v>28</v>
      </c>
      <c r="G74" t="s">
        <v>89</v>
      </c>
      <c r="H74" s="2">
        <v>45833</v>
      </c>
      <c r="I74" s="2">
        <v>45868</v>
      </c>
      <c r="J74" s="2">
        <v>45939</v>
      </c>
      <c r="K74" s="2">
        <v>46175</v>
      </c>
      <c r="L74">
        <v>73</v>
      </c>
      <c r="M74">
        <v>23.67</v>
      </c>
      <c r="N74" t="s">
        <v>12</v>
      </c>
    </row>
    <row r="75" spans="1:16" x14ac:dyDescent="0.3">
      <c r="A75" t="s">
        <v>141</v>
      </c>
      <c r="B75" t="s">
        <v>8</v>
      </c>
      <c r="C75" t="s">
        <v>17</v>
      </c>
      <c r="D75" t="s">
        <v>9</v>
      </c>
      <c r="E75" t="s">
        <v>13</v>
      </c>
      <c r="F75" t="s">
        <v>285</v>
      </c>
      <c r="G75" t="s">
        <v>95</v>
      </c>
      <c r="H75" s="2">
        <v>46049</v>
      </c>
      <c r="I75" s="2">
        <v>46170</v>
      </c>
      <c r="J75" s="2"/>
      <c r="K75" s="2">
        <v>46183</v>
      </c>
      <c r="L75">
        <v>109</v>
      </c>
      <c r="M75">
        <v>1172.77</v>
      </c>
      <c r="N75" t="s">
        <v>12</v>
      </c>
    </row>
    <row r="76" spans="1:16" x14ac:dyDescent="0.3">
      <c r="A76" t="s">
        <v>142</v>
      </c>
      <c r="B76" t="s">
        <v>8</v>
      </c>
      <c r="C76" t="s">
        <v>16</v>
      </c>
      <c r="D76" t="s">
        <v>9</v>
      </c>
      <c r="F76" t="s">
        <v>43</v>
      </c>
      <c r="G76" t="s">
        <v>89</v>
      </c>
      <c r="H76" s="2">
        <v>46149</v>
      </c>
      <c r="I76" s="2">
        <v>46203</v>
      </c>
      <c r="J76" s="2"/>
      <c r="K76" s="2"/>
      <c r="L76" t="s">
        <v>37</v>
      </c>
      <c r="M76" t="s">
        <v>37</v>
      </c>
      <c r="N76" t="s">
        <v>12</v>
      </c>
    </row>
    <row r="77" spans="1:16" x14ac:dyDescent="0.3">
      <c r="A77" t="s">
        <v>144</v>
      </c>
      <c r="B77" t="s">
        <v>8</v>
      </c>
      <c r="C77" t="s">
        <v>16</v>
      </c>
      <c r="D77" t="s">
        <v>9</v>
      </c>
      <c r="E77" t="s">
        <v>13</v>
      </c>
      <c r="F77" t="s">
        <v>286</v>
      </c>
      <c r="G77" t="s">
        <v>95</v>
      </c>
      <c r="H77" s="2">
        <v>46174</v>
      </c>
      <c r="I77" s="2">
        <v>46199</v>
      </c>
      <c r="J77" s="2"/>
      <c r="K77" s="2"/>
      <c r="L77" t="s">
        <v>37</v>
      </c>
      <c r="M77" t="s">
        <v>37</v>
      </c>
      <c r="N77" t="s">
        <v>12</v>
      </c>
    </row>
    <row r="78" spans="1:16" x14ac:dyDescent="0.3">
      <c r="A78" t="s">
        <v>145</v>
      </c>
      <c r="B78" t="s">
        <v>8</v>
      </c>
      <c r="C78" t="s">
        <v>16</v>
      </c>
      <c r="D78" t="s">
        <v>9</v>
      </c>
      <c r="E78" t="s">
        <v>13</v>
      </c>
      <c r="F78" t="s">
        <v>288</v>
      </c>
      <c r="G78" t="s">
        <v>89</v>
      </c>
      <c r="H78" s="2">
        <v>46161</v>
      </c>
      <c r="I78" s="2">
        <v>46199</v>
      </c>
      <c r="J78" s="2"/>
      <c r="K78" s="2"/>
      <c r="L78" t="s">
        <v>37</v>
      </c>
      <c r="M78" t="s">
        <v>37</v>
      </c>
      <c r="N78" t="s">
        <v>12</v>
      </c>
      <c r="O78">
        <v>1</v>
      </c>
    </row>
    <row r="79" spans="1:16" x14ac:dyDescent="0.3">
      <c r="A79" t="s">
        <v>146</v>
      </c>
      <c r="B79" t="s">
        <v>8</v>
      </c>
      <c r="C79" t="s">
        <v>16</v>
      </c>
      <c r="D79" t="s">
        <v>9</v>
      </c>
      <c r="E79" t="s">
        <v>13</v>
      </c>
      <c r="F79" t="s">
        <v>282</v>
      </c>
      <c r="G79" t="s">
        <v>95</v>
      </c>
      <c r="H79" s="2">
        <v>46049</v>
      </c>
      <c r="I79" s="2">
        <v>46198</v>
      </c>
      <c r="J79" s="2"/>
      <c r="K79" s="2"/>
      <c r="L79" t="s">
        <v>37</v>
      </c>
      <c r="M79" t="s">
        <v>37</v>
      </c>
      <c r="N79" t="s">
        <v>12</v>
      </c>
    </row>
    <row r="80" spans="1:16" x14ac:dyDescent="0.3">
      <c r="A80" t="s">
        <v>147</v>
      </c>
      <c r="B80" t="s">
        <v>8</v>
      </c>
      <c r="C80" t="s">
        <v>16</v>
      </c>
      <c r="D80" t="s">
        <v>9</v>
      </c>
      <c r="E80" t="s">
        <v>13</v>
      </c>
      <c r="F80" t="s">
        <v>281</v>
      </c>
      <c r="G80" t="s">
        <v>89</v>
      </c>
      <c r="H80" s="2">
        <v>46176</v>
      </c>
      <c r="I80" s="2">
        <v>46197</v>
      </c>
      <c r="J80" s="2"/>
      <c r="K80" s="2"/>
      <c r="L80" t="s">
        <v>37</v>
      </c>
      <c r="M80" t="s">
        <v>37</v>
      </c>
      <c r="N80" t="s">
        <v>12</v>
      </c>
    </row>
    <row r="81" spans="1:16" x14ac:dyDescent="0.3">
      <c r="A81" t="s">
        <v>148</v>
      </c>
      <c r="B81" t="s">
        <v>8</v>
      </c>
      <c r="C81" t="s">
        <v>16</v>
      </c>
      <c r="D81" t="s">
        <v>9</v>
      </c>
      <c r="E81" t="s">
        <v>13</v>
      </c>
      <c r="F81" t="s">
        <v>289</v>
      </c>
      <c r="G81" t="s">
        <v>89</v>
      </c>
      <c r="H81" s="2">
        <v>46135</v>
      </c>
      <c r="I81" s="2">
        <v>46195</v>
      </c>
      <c r="J81" s="2"/>
      <c r="K81" s="2"/>
      <c r="L81" t="s">
        <v>37</v>
      </c>
      <c r="M81" t="s">
        <v>37</v>
      </c>
      <c r="N81" t="s">
        <v>12</v>
      </c>
    </row>
    <row r="82" spans="1:16" x14ac:dyDescent="0.3">
      <c r="A82" t="s">
        <v>149</v>
      </c>
      <c r="B82" t="s">
        <v>8</v>
      </c>
      <c r="C82" t="s">
        <v>16</v>
      </c>
      <c r="D82" t="s">
        <v>9</v>
      </c>
      <c r="F82" t="s">
        <v>150</v>
      </c>
      <c r="G82" t="s">
        <v>89</v>
      </c>
      <c r="H82" s="2">
        <v>46171</v>
      </c>
      <c r="I82" s="2">
        <v>46195</v>
      </c>
      <c r="J82" s="2"/>
      <c r="K82" s="2"/>
      <c r="L82" t="s">
        <v>37</v>
      </c>
      <c r="M82" t="s">
        <v>37</v>
      </c>
      <c r="N82" t="s">
        <v>12</v>
      </c>
    </row>
    <row r="83" spans="1:16" x14ac:dyDescent="0.3">
      <c r="A83" t="s">
        <v>151</v>
      </c>
      <c r="B83" t="s">
        <v>8</v>
      </c>
      <c r="C83" t="s">
        <v>16</v>
      </c>
      <c r="D83" t="s">
        <v>9</v>
      </c>
      <c r="F83" t="s">
        <v>131</v>
      </c>
      <c r="G83" t="s">
        <v>89</v>
      </c>
      <c r="H83" s="2">
        <v>46169</v>
      </c>
      <c r="I83" s="2">
        <v>46189</v>
      </c>
      <c r="J83" s="2"/>
      <c r="K83" s="2"/>
      <c r="L83" t="s">
        <v>37</v>
      </c>
      <c r="M83" t="s">
        <v>37</v>
      </c>
      <c r="N83" t="s">
        <v>12</v>
      </c>
    </row>
    <row r="84" spans="1:16" x14ac:dyDescent="0.3">
      <c r="A84" t="s">
        <v>152</v>
      </c>
      <c r="B84" t="s">
        <v>8</v>
      </c>
      <c r="C84" t="s">
        <v>16</v>
      </c>
      <c r="D84" t="s">
        <v>9</v>
      </c>
      <c r="E84" t="s">
        <v>15</v>
      </c>
      <c r="F84" t="s">
        <v>290</v>
      </c>
      <c r="G84" t="s">
        <v>89</v>
      </c>
      <c r="H84" s="2">
        <v>46120</v>
      </c>
      <c r="I84" s="2">
        <v>46183</v>
      </c>
      <c r="J84" s="2"/>
      <c r="K84" s="2"/>
      <c r="L84" t="s">
        <v>37</v>
      </c>
      <c r="M84" t="s">
        <v>37</v>
      </c>
      <c r="N84" t="s">
        <v>12</v>
      </c>
    </row>
    <row r="85" spans="1:16" x14ac:dyDescent="0.3">
      <c r="A85" t="s">
        <v>153</v>
      </c>
      <c r="B85" t="s">
        <v>8</v>
      </c>
      <c r="C85" t="s">
        <v>16</v>
      </c>
      <c r="D85" t="s">
        <v>9</v>
      </c>
      <c r="E85" t="s">
        <v>15</v>
      </c>
      <c r="F85" t="s">
        <v>290</v>
      </c>
      <c r="G85" t="s">
        <v>89</v>
      </c>
      <c r="H85" s="2">
        <v>46120</v>
      </c>
      <c r="I85" s="2">
        <v>46183</v>
      </c>
      <c r="J85" s="2"/>
      <c r="K85" s="2"/>
      <c r="L85" t="s">
        <v>37</v>
      </c>
      <c r="M85" t="s">
        <v>37</v>
      </c>
      <c r="N85" t="s">
        <v>12</v>
      </c>
    </row>
    <row r="86" spans="1:16" x14ac:dyDescent="0.3">
      <c r="A86" t="s">
        <v>154</v>
      </c>
      <c r="B86" t="s">
        <v>8</v>
      </c>
      <c r="C86" t="s">
        <v>16</v>
      </c>
      <c r="D86" t="s">
        <v>9</v>
      </c>
      <c r="F86" t="s">
        <v>155</v>
      </c>
      <c r="G86" t="s">
        <v>89</v>
      </c>
      <c r="H86" s="2"/>
      <c r="I86" s="2">
        <v>46182</v>
      </c>
      <c r="J86" s="2"/>
      <c r="K86" s="2"/>
      <c r="L86" t="s">
        <v>37</v>
      </c>
      <c r="M86" t="s">
        <v>37</v>
      </c>
      <c r="N86" t="s">
        <v>12</v>
      </c>
    </row>
    <row r="87" spans="1:16" x14ac:dyDescent="0.3">
      <c r="A87" t="s">
        <v>156</v>
      </c>
      <c r="B87" t="s">
        <v>8</v>
      </c>
      <c r="C87" t="s">
        <v>16</v>
      </c>
      <c r="D87" t="s">
        <v>9</v>
      </c>
      <c r="F87" t="s">
        <v>157</v>
      </c>
      <c r="G87" t="s">
        <v>95</v>
      </c>
      <c r="H87" s="2"/>
      <c r="I87" s="2">
        <v>46177</v>
      </c>
      <c r="J87" s="2"/>
      <c r="K87" s="2"/>
      <c r="L87" t="s">
        <v>37</v>
      </c>
      <c r="M87" t="s">
        <v>37</v>
      </c>
      <c r="N87" t="s">
        <v>12</v>
      </c>
    </row>
    <row r="88" spans="1:16" x14ac:dyDescent="0.3">
      <c r="A88" t="s">
        <v>158</v>
      </c>
      <c r="B88" t="s">
        <v>8</v>
      </c>
      <c r="C88" t="s">
        <v>16</v>
      </c>
      <c r="D88" t="s">
        <v>9</v>
      </c>
      <c r="F88" t="s">
        <v>159</v>
      </c>
      <c r="G88" t="s">
        <v>89</v>
      </c>
      <c r="H88" s="2">
        <v>46059</v>
      </c>
      <c r="I88" s="2">
        <v>46175</v>
      </c>
      <c r="J88" s="2"/>
      <c r="K88" s="2"/>
      <c r="L88" t="s">
        <v>37</v>
      </c>
      <c r="M88" t="s">
        <v>37</v>
      </c>
      <c r="N88" t="s">
        <v>12</v>
      </c>
    </row>
    <row r="89" spans="1:16" x14ac:dyDescent="0.3">
      <c r="A89" t="s">
        <v>160</v>
      </c>
      <c r="B89" t="s">
        <v>8</v>
      </c>
      <c r="C89" t="s">
        <v>17</v>
      </c>
      <c r="D89" t="s">
        <v>9</v>
      </c>
      <c r="E89" t="s">
        <v>291</v>
      </c>
      <c r="F89" t="s">
        <v>276</v>
      </c>
      <c r="G89" t="s">
        <v>95</v>
      </c>
      <c r="H89" s="2">
        <v>45881</v>
      </c>
      <c r="I89" s="2">
        <v>45959</v>
      </c>
      <c r="J89" s="2"/>
      <c r="K89" s="2">
        <v>45988</v>
      </c>
      <c r="L89">
        <v>27</v>
      </c>
      <c r="M89">
        <v>3.5209999999999999</v>
      </c>
      <c r="N89" t="s">
        <v>12</v>
      </c>
      <c r="O89">
        <v>1</v>
      </c>
    </row>
    <row r="90" spans="1:16" x14ac:dyDescent="0.3">
      <c r="A90" t="s">
        <v>161</v>
      </c>
      <c r="B90" t="s">
        <v>8</v>
      </c>
      <c r="C90" t="s">
        <v>17</v>
      </c>
      <c r="D90" t="s">
        <v>9</v>
      </c>
      <c r="E90" t="s">
        <v>13</v>
      </c>
      <c r="F90" t="s">
        <v>292</v>
      </c>
      <c r="G90" t="s">
        <v>95</v>
      </c>
      <c r="H90" s="2">
        <v>45959</v>
      </c>
      <c r="I90" s="2">
        <v>45971</v>
      </c>
      <c r="J90" s="2">
        <v>45974</v>
      </c>
      <c r="K90" s="2">
        <v>45980</v>
      </c>
      <c r="L90">
        <v>3</v>
      </c>
      <c r="M90">
        <v>0.69899999999999995</v>
      </c>
      <c r="N90" t="s">
        <v>12</v>
      </c>
      <c r="P90" t="s">
        <v>293</v>
      </c>
    </row>
    <row r="91" spans="1:16" x14ac:dyDescent="0.3">
      <c r="A91" t="s">
        <v>162</v>
      </c>
      <c r="B91" t="s">
        <v>8</v>
      </c>
      <c r="C91" t="s">
        <v>16</v>
      </c>
      <c r="D91" t="s">
        <v>9</v>
      </c>
      <c r="E91" t="s">
        <v>13</v>
      </c>
      <c r="F91" t="s">
        <v>294</v>
      </c>
      <c r="G91" t="s">
        <v>89</v>
      </c>
      <c r="H91" s="2">
        <v>45911</v>
      </c>
      <c r="I91" s="2">
        <v>45986</v>
      </c>
      <c r="J91" s="2"/>
      <c r="K91" s="2"/>
      <c r="L91" t="s">
        <v>37</v>
      </c>
      <c r="M91" t="s">
        <v>37</v>
      </c>
      <c r="N91" t="s">
        <v>12</v>
      </c>
      <c r="O91">
        <v>1</v>
      </c>
    </row>
    <row r="92" spans="1:16" x14ac:dyDescent="0.3">
      <c r="A92" t="s">
        <v>163</v>
      </c>
      <c r="B92" t="s">
        <v>8</v>
      </c>
      <c r="C92" t="s">
        <v>16</v>
      </c>
      <c r="D92" t="s">
        <v>9</v>
      </c>
      <c r="F92" t="s">
        <v>318</v>
      </c>
      <c r="G92" t="s">
        <v>89</v>
      </c>
      <c r="H92" s="2"/>
      <c r="I92" s="2">
        <v>45985</v>
      </c>
      <c r="J92" s="2"/>
      <c r="K92" s="2"/>
      <c r="L92" t="s">
        <v>37</v>
      </c>
      <c r="M92" t="s">
        <v>37</v>
      </c>
      <c r="N92" t="s">
        <v>12</v>
      </c>
    </row>
    <row r="93" spans="1:16" x14ac:dyDescent="0.3">
      <c r="A93" t="s">
        <v>164</v>
      </c>
      <c r="B93" t="s">
        <v>8</v>
      </c>
      <c r="C93" t="s">
        <v>16</v>
      </c>
      <c r="D93" t="s">
        <v>9</v>
      </c>
      <c r="F93" t="s">
        <v>28</v>
      </c>
      <c r="G93" t="s">
        <v>89</v>
      </c>
      <c r="H93" s="2">
        <v>45852</v>
      </c>
      <c r="I93" s="2">
        <v>45985</v>
      </c>
      <c r="J93" s="2"/>
      <c r="K93" s="2"/>
      <c r="L93" t="s">
        <v>37</v>
      </c>
      <c r="M93" t="s">
        <v>37</v>
      </c>
      <c r="N93" t="s">
        <v>12</v>
      </c>
    </row>
    <row r="94" spans="1:16" x14ac:dyDescent="0.3">
      <c r="A94" t="s">
        <v>165</v>
      </c>
      <c r="B94" t="s">
        <v>8</v>
      </c>
      <c r="C94" t="s">
        <v>16</v>
      </c>
      <c r="D94" t="s">
        <v>9</v>
      </c>
      <c r="F94" t="s">
        <v>318</v>
      </c>
      <c r="G94" t="s">
        <v>89</v>
      </c>
      <c r="H94" s="2"/>
      <c r="I94" s="2">
        <v>45985</v>
      </c>
      <c r="J94" s="2"/>
      <c r="K94" s="2"/>
      <c r="L94" t="s">
        <v>37</v>
      </c>
      <c r="M94" t="s">
        <v>37</v>
      </c>
      <c r="N94" t="s">
        <v>12</v>
      </c>
    </row>
    <row r="95" spans="1:16" x14ac:dyDescent="0.3">
      <c r="A95" t="s">
        <v>166</v>
      </c>
      <c r="B95" t="s">
        <v>8</v>
      </c>
      <c r="C95" t="s">
        <v>16</v>
      </c>
      <c r="D95" t="s">
        <v>9</v>
      </c>
      <c r="F95" t="s">
        <v>31</v>
      </c>
      <c r="G95" t="s">
        <v>89</v>
      </c>
      <c r="H95" s="2">
        <v>45953</v>
      </c>
      <c r="I95" s="2">
        <v>45980</v>
      </c>
      <c r="J95" s="2"/>
      <c r="K95" s="2"/>
      <c r="L95" t="s">
        <v>37</v>
      </c>
      <c r="M95" t="s">
        <v>37</v>
      </c>
      <c r="N95" t="s">
        <v>12</v>
      </c>
    </row>
    <row r="96" spans="1:16" x14ac:dyDescent="0.3">
      <c r="A96" t="s">
        <v>167</v>
      </c>
      <c r="B96" t="s">
        <v>8</v>
      </c>
      <c r="C96" t="s">
        <v>16</v>
      </c>
      <c r="D96" t="s">
        <v>9</v>
      </c>
      <c r="E96" t="s">
        <v>13</v>
      </c>
      <c r="F96" t="s">
        <v>295</v>
      </c>
      <c r="G96" t="s">
        <v>89</v>
      </c>
      <c r="H96" s="2">
        <v>45980</v>
      </c>
      <c r="I96" s="2">
        <v>45982</v>
      </c>
      <c r="J96" s="2"/>
      <c r="K96" s="2"/>
      <c r="L96" t="s">
        <v>37</v>
      </c>
      <c r="M96" t="s">
        <v>37</v>
      </c>
      <c r="N96" t="s">
        <v>12</v>
      </c>
    </row>
    <row r="97" spans="1:15" x14ac:dyDescent="0.3">
      <c r="A97" t="s">
        <v>168</v>
      </c>
      <c r="B97" t="s">
        <v>8</v>
      </c>
      <c r="C97" t="s">
        <v>16</v>
      </c>
      <c r="D97" t="s">
        <v>9</v>
      </c>
      <c r="F97" t="s">
        <v>99</v>
      </c>
      <c r="G97" t="s">
        <v>89</v>
      </c>
      <c r="H97" s="2">
        <v>45967</v>
      </c>
      <c r="I97" s="2">
        <v>45974</v>
      </c>
      <c r="J97" s="2"/>
      <c r="K97" s="2"/>
      <c r="L97" t="s">
        <v>37</v>
      </c>
      <c r="M97" t="s">
        <v>37</v>
      </c>
      <c r="N97" t="s">
        <v>12</v>
      </c>
    </row>
    <row r="98" spans="1:15" x14ac:dyDescent="0.3">
      <c r="A98" t="s">
        <v>169</v>
      </c>
      <c r="B98" t="s">
        <v>8</v>
      </c>
      <c r="C98" t="s">
        <v>16</v>
      </c>
      <c r="D98" t="s">
        <v>9</v>
      </c>
      <c r="E98" t="s">
        <v>13</v>
      </c>
      <c r="F98" t="s">
        <v>292</v>
      </c>
      <c r="G98" t="s">
        <v>95</v>
      </c>
      <c r="H98" s="2">
        <v>45959</v>
      </c>
      <c r="I98" s="2">
        <v>45971</v>
      </c>
      <c r="J98" s="2"/>
      <c r="K98" s="2"/>
      <c r="L98" t="s">
        <v>37</v>
      </c>
      <c r="M98" t="s">
        <v>37</v>
      </c>
      <c r="N98" t="s">
        <v>12</v>
      </c>
    </row>
    <row r="99" spans="1:15" x14ac:dyDescent="0.3">
      <c r="A99" t="s">
        <v>170</v>
      </c>
      <c r="B99" t="s">
        <v>8</v>
      </c>
      <c r="C99" t="s">
        <v>16</v>
      </c>
      <c r="D99" t="s">
        <v>9</v>
      </c>
      <c r="F99" t="s">
        <v>41</v>
      </c>
      <c r="G99" t="s">
        <v>95</v>
      </c>
      <c r="H99" s="2">
        <v>45954</v>
      </c>
      <c r="I99" s="2">
        <v>45973</v>
      </c>
      <c r="J99" s="2"/>
      <c r="K99" s="2"/>
      <c r="L99" t="s">
        <v>37</v>
      </c>
      <c r="M99" t="s">
        <v>37</v>
      </c>
      <c r="N99" t="s">
        <v>12</v>
      </c>
    </row>
    <row r="100" spans="1:15" x14ac:dyDescent="0.3">
      <c r="A100" t="s">
        <v>171</v>
      </c>
      <c r="B100" t="s">
        <v>8</v>
      </c>
      <c r="C100" t="s">
        <v>16</v>
      </c>
      <c r="D100" t="s">
        <v>9</v>
      </c>
      <c r="F100" t="s">
        <v>41</v>
      </c>
      <c r="G100" t="s">
        <v>95</v>
      </c>
      <c r="H100" s="2">
        <v>45954</v>
      </c>
      <c r="I100" s="2">
        <v>45973</v>
      </c>
      <c r="J100" s="2"/>
      <c r="K100" s="2"/>
      <c r="L100" t="s">
        <v>37</v>
      </c>
      <c r="M100" t="s">
        <v>37</v>
      </c>
      <c r="N100" t="s">
        <v>12</v>
      </c>
    </row>
    <row r="101" spans="1:15" x14ac:dyDescent="0.3">
      <c r="A101" t="s">
        <v>172</v>
      </c>
      <c r="B101" t="s">
        <v>8</v>
      </c>
      <c r="C101" t="s">
        <v>16</v>
      </c>
      <c r="D101" t="s">
        <v>9</v>
      </c>
      <c r="F101" t="s">
        <v>28</v>
      </c>
      <c r="G101" t="s">
        <v>89</v>
      </c>
      <c r="H101" s="2">
        <v>45799</v>
      </c>
      <c r="I101" s="2">
        <v>45971</v>
      </c>
      <c r="J101" s="2"/>
      <c r="K101" s="2"/>
      <c r="L101" t="s">
        <v>37</v>
      </c>
      <c r="M101" t="s">
        <v>37</v>
      </c>
      <c r="N101" t="s">
        <v>12</v>
      </c>
    </row>
    <row r="102" spans="1:15" x14ac:dyDescent="0.3">
      <c r="A102" t="s">
        <v>173</v>
      </c>
      <c r="B102" t="s">
        <v>8</v>
      </c>
      <c r="C102" t="s">
        <v>16</v>
      </c>
      <c r="D102" t="s">
        <v>9</v>
      </c>
      <c r="F102" t="s">
        <v>28</v>
      </c>
      <c r="G102" t="s">
        <v>89</v>
      </c>
      <c r="H102" s="2">
        <v>45852</v>
      </c>
      <c r="I102" s="2">
        <v>45971</v>
      </c>
      <c r="J102" s="2"/>
      <c r="K102" s="2"/>
      <c r="L102" t="s">
        <v>37</v>
      </c>
      <c r="M102" t="s">
        <v>37</v>
      </c>
      <c r="N102" t="s">
        <v>12</v>
      </c>
    </row>
    <row r="103" spans="1:15" x14ac:dyDescent="0.3">
      <c r="A103" t="s">
        <v>174</v>
      </c>
      <c r="B103" t="s">
        <v>8</v>
      </c>
      <c r="C103" t="s">
        <v>16</v>
      </c>
      <c r="D103" t="s">
        <v>9</v>
      </c>
      <c r="E103" t="s">
        <v>13</v>
      </c>
      <c r="F103" t="s">
        <v>296</v>
      </c>
      <c r="G103" t="s">
        <v>89</v>
      </c>
      <c r="H103" s="2">
        <v>45937</v>
      </c>
      <c r="I103" s="2">
        <v>45966</v>
      </c>
      <c r="J103" s="2"/>
      <c r="K103" s="2"/>
      <c r="L103" t="s">
        <v>37</v>
      </c>
      <c r="M103" t="s">
        <v>37</v>
      </c>
      <c r="N103" t="s">
        <v>12</v>
      </c>
    </row>
    <row r="104" spans="1:15" x14ac:dyDescent="0.3">
      <c r="A104" t="s">
        <v>175</v>
      </c>
      <c r="B104" t="s">
        <v>8</v>
      </c>
      <c r="C104" t="s">
        <v>17</v>
      </c>
      <c r="D104" t="s">
        <v>4</v>
      </c>
      <c r="F104" t="s">
        <v>274</v>
      </c>
      <c r="G104" t="s">
        <v>89</v>
      </c>
      <c r="H104" s="2"/>
      <c r="I104" s="2">
        <v>45776</v>
      </c>
      <c r="J104" s="2">
        <v>45798</v>
      </c>
      <c r="K104" s="2">
        <v>45972</v>
      </c>
      <c r="L104" t="s">
        <v>37</v>
      </c>
      <c r="M104" t="s">
        <v>37</v>
      </c>
      <c r="N104" t="s">
        <v>12</v>
      </c>
    </row>
    <row r="105" spans="1:15" x14ac:dyDescent="0.3">
      <c r="A105" t="s">
        <v>176</v>
      </c>
      <c r="B105" t="s">
        <v>8</v>
      </c>
      <c r="C105" t="s">
        <v>16</v>
      </c>
      <c r="D105" t="s">
        <v>4</v>
      </c>
      <c r="F105" t="s">
        <v>118</v>
      </c>
      <c r="G105" t="s">
        <v>89</v>
      </c>
      <c r="H105" s="2"/>
      <c r="I105" s="2">
        <v>45975</v>
      </c>
      <c r="J105" s="2"/>
      <c r="K105" s="2"/>
      <c r="L105" t="s">
        <v>37</v>
      </c>
      <c r="M105" t="s">
        <v>37</v>
      </c>
      <c r="N105" t="s">
        <v>12</v>
      </c>
    </row>
    <row r="106" spans="1:15" x14ac:dyDescent="0.3">
      <c r="A106" t="s">
        <v>178</v>
      </c>
      <c r="B106" t="s">
        <v>8</v>
      </c>
      <c r="C106" t="s">
        <v>17</v>
      </c>
      <c r="D106" t="s">
        <v>4</v>
      </c>
      <c r="F106" t="s">
        <v>270</v>
      </c>
      <c r="G106" t="s">
        <v>89</v>
      </c>
      <c r="H106" s="2"/>
      <c r="I106" s="2">
        <v>45936</v>
      </c>
      <c r="J106" s="2">
        <v>45972</v>
      </c>
      <c r="K106" s="2">
        <v>46140</v>
      </c>
      <c r="L106" t="s">
        <v>37</v>
      </c>
      <c r="M106" t="s">
        <v>37</v>
      </c>
      <c r="N106" t="s">
        <v>12</v>
      </c>
    </row>
    <row r="107" spans="1:15" x14ac:dyDescent="0.3">
      <c r="A107" t="s">
        <v>179</v>
      </c>
      <c r="B107" t="s">
        <v>8</v>
      </c>
      <c r="C107" t="s">
        <v>17</v>
      </c>
      <c r="D107" t="s">
        <v>9</v>
      </c>
      <c r="E107" t="s">
        <v>15</v>
      </c>
      <c r="F107" t="s">
        <v>28</v>
      </c>
      <c r="G107" t="s">
        <v>89</v>
      </c>
      <c r="H107" s="2">
        <v>45873</v>
      </c>
      <c r="I107" s="2">
        <v>45901</v>
      </c>
      <c r="J107" s="2"/>
      <c r="K107" s="2">
        <v>46129</v>
      </c>
      <c r="L107" t="s">
        <v>37</v>
      </c>
      <c r="M107" t="s">
        <v>37</v>
      </c>
      <c r="N107" t="s">
        <v>12</v>
      </c>
    </row>
    <row r="108" spans="1:15" x14ac:dyDescent="0.3">
      <c r="A108" t="s">
        <v>180</v>
      </c>
      <c r="B108" t="s">
        <v>8</v>
      </c>
      <c r="C108" t="s">
        <v>17</v>
      </c>
      <c r="D108" t="s">
        <v>9</v>
      </c>
      <c r="E108" t="s">
        <v>13</v>
      </c>
      <c r="F108" t="s">
        <v>50</v>
      </c>
      <c r="G108" t="s">
        <v>95</v>
      </c>
      <c r="H108" s="2">
        <v>46030</v>
      </c>
      <c r="I108" s="2">
        <v>46069</v>
      </c>
      <c r="J108" s="2"/>
      <c r="K108" s="2">
        <v>46125</v>
      </c>
      <c r="L108">
        <v>80</v>
      </c>
      <c r="M108">
        <v>1211.4269999999999</v>
      </c>
      <c r="N108" t="s">
        <v>12</v>
      </c>
    </row>
    <row r="109" spans="1:15" x14ac:dyDescent="0.3">
      <c r="A109" t="s">
        <v>181</v>
      </c>
      <c r="B109" t="s">
        <v>8</v>
      </c>
      <c r="C109" t="s">
        <v>16</v>
      </c>
      <c r="D109" t="s">
        <v>9</v>
      </c>
      <c r="E109" t="s">
        <v>13</v>
      </c>
      <c r="F109" t="s">
        <v>298</v>
      </c>
      <c r="G109" t="s">
        <v>95</v>
      </c>
      <c r="H109" s="2">
        <v>46106</v>
      </c>
      <c r="I109" s="2">
        <v>46140</v>
      </c>
      <c r="J109" s="2"/>
      <c r="K109" s="2"/>
      <c r="L109" t="s">
        <v>37</v>
      </c>
      <c r="M109" t="s">
        <v>37</v>
      </c>
      <c r="N109" t="s">
        <v>12</v>
      </c>
    </row>
    <row r="110" spans="1:15" x14ac:dyDescent="0.3">
      <c r="A110" t="s">
        <v>182</v>
      </c>
      <c r="B110" t="s">
        <v>8</v>
      </c>
      <c r="C110" t="s">
        <v>16</v>
      </c>
      <c r="D110" t="s">
        <v>9</v>
      </c>
      <c r="E110" t="s">
        <v>13</v>
      </c>
      <c r="F110" t="s">
        <v>299</v>
      </c>
      <c r="G110" t="s">
        <v>89</v>
      </c>
      <c r="H110" s="2">
        <v>46076</v>
      </c>
      <c r="I110" s="2">
        <v>46133</v>
      </c>
      <c r="J110" s="2"/>
      <c r="K110" s="2"/>
      <c r="L110" t="s">
        <v>37</v>
      </c>
      <c r="M110" t="s">
        <v>37</v>
      </c>
      <c r="N110" t="s">
        <v>12</v>
      </c>
      <c r="O110">
        <v>1</v>
      </c>
    </row>
    <row r="111" spans="1:15" x14ac:dyDescent="0.3">
      <c r="A111" t="s">
        <v>183</v>
      </c>
      <c r="B111" t="s">
        <v>8</v>
      </c>
      <c r="C111" t="s">
        <v>16</v>
      </c>
      <c r="D111" t="s">
        <v>9</v>
      </c>
      <c r="E111" t="s">
        <v>13</v>
      </c>
      <c r="F111" t="s">
        <v>300</v>
      </c>
      <c r="G111" t="s">
        <v>89</v>
      </c>
      <c r="H111" s="2"/>
      <c r="I111" s="2">
        <v>46126</v>
      </c>
      <c r="J111" s="2"/>
      <c r="K111" s="2"/>
      <c r="L111" t="s">
        <v>37</v>
      </c>
      <c r="M111" t="s">
        <v>37</v>
      </c>
      <c r="N111" t="s">
        <v>12</v>
      </c>
    </row>
    <row r="112" spans="1:15" x14ac:dyDescent="0.3">
      <c r="A112" t="s">
        <v>184</v>
      </c>
      <c r="B112" t="s">
        <v>8</v>
      </c>
      <c r="C112" t="s">
        <v>16</v>
      </c>
      <c r="D112" t="s">
        <v>9</v>
      </c>
      <c r="F112" t="s">
        <v>28</v>
      </c>
      <c r="G112" t="s">
        <v>89</v>
      </c>
      <c r="H112" s="2">
        <v>46080</v>
      </c>
      <c r="I112" s="2">
        <v>46126</v>
      </c>
      <c r="J112" s="2"/>
      <c r="K112" s="2"/>
      <c r="L112" t="s">
        <v>37</v>
      </c>
      <c r="M112" t="s">
        <v>37</v>
      </c>
      <c r="N112" t="s">
        <v>12</v>
      </c>
    </row>
    <row r="113" spans="1:15" x14ac:dyDescent="0.3">
      <c r="A113" t="s">
        <v>185</v>
      </c>
      <c r="B113" t="s">
        <v>8</v>
      </c>
      <c r="C113" t="s">
        <v>16</v>
      </c>
      <c r="D113" t="s">
        <v>9</v>
      </c>
      <c r="F113" t="s">
        <v>32</v>
      </c>
      <c r="G113" t="s">
        <v>89</v>
      </c>
      <c r="H113" s="2"/>
      <c r="I113" s="2">
        <v>46125</v>
      </c>
      <c r="J113" s="2"/>
      <c r="K113" s="2"/>
      <c r="L113" t="s">
        <v>37</v>
      </c>
      <c r="M113" t="s">
        <v>37</v>
      </c>
      <c r="N113" t="s">
        <v>12</v>
      </c>
    </row>
    <row r="114" spans="1:15" x14ac:dyDescent="0.3">
      <c r="A114" t="s">
        <v>186</v>
      </c>
      <c r="B114" t="s">
        <v>8</v>
      </c>
      <c r="C114" t="s">
        <v>16</v>
      </c>
      <c r="D114" t="s">
        <v>9</v>
      </c>
      <c r="F114" t="s">
        <v>28</v>
      </c>
      <c r="G114" t="s">
        <v>89</v>
      </c>
      <c r="H114" s="2">
        <v>45932</v>
      </c>
      <c r="I114" s="2">
        <v>46125</v>
      </c>
      <c r="J114" s="2"/>
      <c r="K114" s="2"/>
      <c r="L114" t="s">
        <v>37</v>
      </c>
      <c r="M114" t="s">
        <v>37</v>
      </c>
      <c r="N114" t="s">
        <v>12</v>
      </c>
    </row>
    <row r="115" spans="1:15" x14ac:dyDescent="0.3">
      <c r="A115" t="s">
        <v>187</v>
      </c>
      <c r="B115" t="s">
        <v>8</v>
      </c>
      <c r="C115" t="s">
        <v>16</v>
      </c>
      <c r="D115" t="s">
        <v>9</v>
      </c>
      <c r="F115" t="s">
        <v>301</v>
      </c>
      <c r="G115" t="s">
        <v>95</v>
      </c>
      <c r="H115" s="2">
        <v>46091</v>
      </c>
      <c r="I115" s="2">
        <v>46121</v>
      </c>
      <c r="J115" s="2"/>
      <c r="K115" s="2"/>
      <c r="L115" t="s">
        <v>37</v>
      </c>
      <c r="M115" t="s">
        <v>37</v>
      </c>
      <c r="N115" t="s">
        <v>12</v>
      </c>
    </row>
    <row r="116" spans="1:15" x14ac:dyDescent="0.3">
      <c r="A116" t="s">
        <v>188</v>
      </c>
      <c r="B116" t="s">
        <v>8</v>
      </c>
      <c r="C116" t="s">
        <v>16</v>
      </c>
      <c r="D116" t="s">
        <v>9</v>
      </c>
      <c r="F116" t="s">
        <v>189</v>
      </c>
      <c r="G116" t="s">
        <v>95</v>
      </c>
      <c r="H116" s="2"/>
      <c r="I116" s="2">
        <v>46121</v>
      </c>
      <c r="J116" s="2"/>
      <c r="K116" s="2"/>
      <c r="L116" t="s">
        <v>37</v>
      </c>
      <c r="M116" t="s">
        <v>37</v>
      </c>
      <c r="N116" t="s">
        <v>12</v>
      </c>
    </row>
    <row r="117" spans="1:15" x14ac:dyDescent="0.3">
      <c r="A117" t="s">
        <v>190</v>
      </c>
      <c r="B117" t="s">
        <v>8</v>
      </c>
      <c r="C117" t="s">
        <v>16</v>
      </c>
      <c r="D117" t="s">
        <v>9</v>
      </c>
      <c r="F117" t="s">
        <v>23</v>
      </c>
      <c r="G117" t="s">
        <v>89</v>
      </c>
      <c r="H117" s="2">
        <v>46063</v>
      </c>
      <c r="I117" s="2">
        <v>46120</v>
      </c>
      <c r="J117" s="2"/>
      <c r="K117" s="2"/>
      <c r="L117" t="s">
        <v>37</v>
      </c>
      <c r="M117" t="s">
        <v>37</v>
      </c>
      <c r="N117" t="s">
        <v>12</v>
      </c>
    </row>
    <row r="118" spans="1:15" x14ac:dyDescent="0.3">
      <c r="A118" t="s">
        <v>191</v>
      </c>
      <c r="B118" t="s">
        <v>8</v>
      </c>
      <c r="C118" t="s">
        <v>16</v>
      </c>
      <c r="D118" t="s">
        <v>9</v>
      </c>
      <c r="E118" t="s">
        <v>13</v>
      </c>
      <c r="F118" t="s">
        <v>303</v>
      </c>
      <c r="G118" t="s">
        <v>89</v>
      </c>
      <c r="H118" s="2">
        <v>46043</v>
      </c>
      <c r="I118" s="2">
        <v>46119</v>
      </c>
      <c r="J118" s="2"/>
      <c r="K118" s="2"/>
      <c r="L118" t="s">
        <v>37</v>
      </c>
      <c r="M118" t="s">
        <v>37</v>
      </c>
      <c r="N118" t="s">
        <v>12</v>
      </c>
    </row>
    <row r="119" spans="1:15" x14ac:dyDescent="0.3">
      <c r="A119" t="s">
        <v>192</v>
      </c>
      <c r="B119" t="s">
        <v>8</v>
      </c>
      <c r="C119" t="s">
        <v>16</v>
      </c>
      <c r="D119" t="s">
        <v>9</v>
      </c>
      <c r="F119" t="s">
        <v>28</v>
      </c>
      <c r="G119" t="s">
        <v>89</v>
      </c>
      <c r="H119" s="2">
        <v>45932</v>
      </c>
      <c r="I119" s="2">
        <v>46118</v>
      </c>
      <c r="J119" s="2"/>
      <c r="K119" s="2"/>
      <c r="L119" t="s">
        <v>37</v>
      </c>
      <c r="M119" t="s">
        <v>37</v>
      </c>
      <c r="N119" t="s">
        <v>12</v>
      </c>
    </row>
    <row r="120" spans="1:15" x14ac:dyDescent="0.3">
      <c r="A120" t="s">
        <v>193</v>
      </c>
      <c r="B120" t="s">
        <v>8</v>
      </c>
      <c r="C120" t="s">
        <v>16</v>
      </c>
      <c r="D120" t="s">
        <v>9</v>
      </c>
      <c r="F120" t="s">
        <v>32</v>
      </c>
      <c r="G120" t="s">
        <v>89</v>
      </c>
      <c r="H120" s="2"/>
      <c r="I120" s="2">
        <v>46118</v>
      </c>
      <c r="J120" s="2"/>
      <c r="K120" s="2"/>
      <c r="L120" t="s">
        <v>37</v>
      </c>
      <c r="M120" t="s">
        <v>37</v>
      </c>
      <c r="N120" t="s">
        <v>12</v>
      </c>
    </row>
    <row r="121" spans="1:15" x14ac:dyDescent="0.3">
      <c r="A121" t="s">
        <v>195</v>
      </c>
      <c r="B121" t="s">
        <v>8</v>
      </c>
      <c r="C121" t="s">
        <v>16</v>
      </c>
      <c r="D121" t="s">
        <v>9</v>
      </c>
      <c r="E121" t="s">
        <v>15</v>
      </c>
      <c r="F121" t="s">
        <v>304</v>
      </c>
      <c r="G121" t="s">
        <v>95</v>
      </c>
      <c r="H121" s="2">
        <v>46027</v>
      </c>
      <c r="I121" s="2">
        <v>46118</v>
      </c>
      <c r="J121" s="2"/>
      <c r="K121" s="2"/>
      <c r="L121" t="s">
        <v>37</v>
      </c>
      <c r="M121" t="s">
        <v>37</v>
      </c>
      <c r="N121" t="s">
        <v>12</v>
      </c>
    </row>
    <row r="122" spans="1:15" x14ac:dyDescent="0.3">
      <c r="A122" t="s">
        <v>196</v>
      </c>
      <c r="B122" t="s">
        <v>8</v>
      </c>
      <c r="C122" t="s">
        <v>17</v>
      </c>
      <c r="D122" t="s">
        <v>9</v>
      </c>
      <c r="E122" t="s">
        <v>13</v>
      </c>
      <c r="F122" t="s">
        <v>197</v>
      </c>
      <c r="G122" t="s">
        <v>95</v>
      </c>
      <c r="H122" s="2">
        <v>45845</v>
      </c>
      <c r="I122" s="2">
        <v>46224</v>
      </c>
      <c r="J122" s="2"/>
      <c r="K122" s="2">
        <v>46157</v>
      </c>
      <c r="L122">
        <v>1</v>
      </c>
      <c r="M122">
        <v>1.1000000000000001</v>
      </c>
      <c r="N122" t="s">
        <v>12</v>
      </c>
    </row>
    <row r="123" spans="1:15" x14ac:dyDescent="0.3">
      <c r="A123" t="s">
        <v>198</v>
      </c>
      <c r="B123" t="s">
        <v>8</v>
      </c>
      <c r="C123" t="s">
        <v>17</v>
      </c>
      <c r="D123" t="s">
        <v>9</v>
      </c>
      <c r="F123" t="s">
        <v>41</v>
      </c>
      <c r="G123" t="s">
        <v>95</v>
      </c>
      <c r="H123" s="2">
        <v>45954</v>
      </c>
      <c r="I123" s="2"/>
      <c r="J123" s="2"/>
      <c r="K123" s="2">
        <v>46157</v>
      </c>
      <c r="L123" t="s">
        <v>37</v>
      </c>
      <c r="M123" t="s">
        <v>37</v>
      </c>
      <c r="N123" t="s">
        <v>12</v>
      </c>
    </row>
    <row r="124" spans="1:15" x14ac:dyDescent="0.3">
      <c r="A124" t="s">
        <v>199</v>
      </c>
      <c r="B124" t="s">
        <v>8</v>
      </c>
      <c r="C124" t="s">
        <v>17</v>
      </c>
      <c r="D124" t="s">
        <v>9</v>
      </c>
      <c r="E124" t="s">
        <v>13</v>
      </c>
      <c r="F124" t="s">
        <v>200</v>
      </c>
      <c r="G124" t="s">
        <v>95</v>
      </c>
      <c r="H124" s="2">
        <v>46001</v>
      </c>
      <c r="I124" s="2">
        <v>46050</v>
      </c>
      <c r="J124" s="2"/>
      <c r="K124" s="2">
        <v>46150</v>
      </c>
      <c r="L124">
        <v>1</v>
      </c>
      <c r="M124">
        <v>0.74</v>
      </c>
      <c r="N124" t="s">
        <v>12</v>
      </c>
      <c r="O124">
        <v>1</v>
      </c>
    </row>
    <row r="125" spans="1:15" x14ac:dyDescent="0.3">
      <c r="A125" t="s">
        <v>201</v>
      </c>
      <c r="B125" t="s">
        <v>8</v>
      </c>
      <c r="C125" t="s">
        <v>16</v>
      </c>
      <c r="D125" t="s">
        <v>9</v>
      </c>
      <c r="E125" t="s">
        <v>13</v>
      </c>
      <c r="F125" t="s">
        <v>302</v>
      </c>
      <c r="G125" t="s">
        <v>95</v>
      </c>
      <c r="H125" s="2">
        <v>45760</v>
      </c>
      <c r="I125" s="2">
        <v>46170</v>
      </c>
      <c r="J125" s="2"/>
      <c r="K125" s="2"/>
      <c r="L125" t="s">
        <v>37</v>
      </c>
      <c r="M125" t="s">
        <v>37</v>
      </c>
      <c r="N125" t="s">
        <v>12</v>
      </c>
      <c r="O125">
        <v>1</v>
      </c>
    </row>
    <row r="126" spans="1:15" x14ac:dyDescent="0.3">
      <c r="A126" t="s">
        <v>202</v>
      </c>
      <c r="B126" t="s">
        <v>8</v>
      </c>
      <c r="C126" t="s">
        <v>16</v>
      </c>
      <c r="D126" t="s">
        <v>9</v>
      </c>
      <c r="E126" t="s">
        <v>13</v>
      </c>
      <c r="F126" t="s">
        <v>285</v>
      </c>
      <c r="G126" t="s">
        <v>95</v>
      </c>
      <c r="H126" s="2">
        <v>46049</v>
      </c>
      <c r="I126" s="2">
        <v>46170</v>
      </c>
      <c r="J126" s="2"/>
      <c r="K126" s="2"/>
      <c r="L126" t="s">
        <v>37</v>
      </c>
      <c r="M126" t="s">
        <v>37</v>
      </c>
      <c r="N126" t="s">
        <v>12</v>
      </c>
    </row>
    <row r="127" spans="1:15" x14ac:dyDescent="0.3">
      <c r="A127" t="s">
        <v>204</v>
      </c>
      <c r="B127" t="s">
        <v>8</v>
      </c>
      <c r="C127" t="s">
        <v>16</v>
      </c>
      <c r="D127" t="s">
        <v>9</v>
      </c>
      <c r="F127" t="s">
        <v>205</v>
      </c>
      <c r="G127" t="s">
        <v>89</v>
      </c>
      <c r="H127" s="2"/>
      <c r="I127" s="2">
        <v>46163</v>
      </c>
      <c r="J127" s="2"/>
      <c r="K127" s="2"/>
      <c r="L127" t="s">
        <v>37</v>
      </c>
      <c r="M127" t="s">
        <v>37</v>
      </c>
      <c r="N127" t="s">
        <v>12</v>
      </c>
    </row>
    <row r="128" spans="1:15" x14ac:dyDescent="0.3">
      <c r="A128" t="s">
        <v>206</v>
      </c>
      <c r="B128" t="s">
        <v>8</v>
      </c>
      <c r="C128" t="s">
        <v>16</v>
      </c>
      <c r="D128" t="s">
        <v>9</v>
      </c>
      <c r="E128" t="s">
        <v>15</v>
      </c>
      <c r="F128" t="s">
        <v>290</v>
      </c>
      <c r="G128" t="s">
        <v>89</v>
      </c>
      <c r="H128" s="2">
        <v>46140</v>
      </c>
      <c r="I128" s="2">
        <v>46163</v>
      </c>
      <c r="J128" s="2"/>
      <c r="K128" s="2"/>
      <c r="L128" t="s">
        <v>37</v>
      </c>
      <c r="M128" t="s">
        <v>37</v>
      </c>
      <c r="N128" t="s">
        <v>12</v>
      </c>
    </row>
    <row r="129" spans="1:16" x14ac:dyDescent="0.3">
      <c r="A129" t="s">
        <v>207</v>
      </c>
      <c r="B129" t="s">
        <v>8</v>
      </c>
      <c r="C129" t="s">
        <v>16</v>
      </c>
      <c r="D129" t="s">
        <v>9</v>
      </c>
      <c r="E129" t="s">
        <v>13</v>
      </c>
      <c r="F129" t="s">
        <v>283</v>
      </c>
      <c r="G129" t="s">
        <v>95</v>
      </c>
      <c r="H129" s="2">
        <v>46133</v>
      </c>
      <c r="I129" s="2">
        <v>46162</v>
      </c>
      <c r="J129" s="2"/>
      <c r="K129" s="2"/>
      <c r="L129" t="s">
        <v>37</v>
      </c>
      <c r="M129" t="s">
        <v>37</v>
      </c>
      <c r="N129" t="s">
        <v>12</v>
      </c>
    </row>
    <row r="130" spans="1:16" x14ac:dyDescent="0.3">
      <c r="A130" t="s">
        <v>208</v>
      </c>
      <c r="B130" t="s">
        <v>8</v>
      </c>
      <c r="C130" t="s">
        <v>16</v>
      </c>
      <c r="D130" t="s">
        <v>9</v>
      </c>
      <c r="F130" t="s">
        <v>209</v>
      </c>
      <c r="G130" t="s">
        <v>89</v>
      </c>
      <c r="H130" s="2"/>
      <c r="I130" s="2">
        <v>46161</v>
      </c>
      <c r="J130" s="2"/>
      <c r="K130" s="2"/>
      <c r="L130" t="s">
        <v>37</v>
      </c>
      <c r="M130" t="s">
        <v>37</v>
      </c>
      <c r="N130" t="s">
        <v>12</v>
      </c>
    </row>
    <row r="131" spans="1:16" x14ac:dyDescent="0.3">
      <c r="A131" t="s">
        <v>210</v>
      </c>
      <c r="B131" t="s">
        <v>8</v>
      </c>
      <c r="C131" t="s">
        <v>16</v>
      </c>
      <c r="D131" t="s">
        <v>9</v>
      </c>
      <c r="E131" t="s">
        <v>13</v>
      </c>
      <c r="F131" t="s">
        <v>272</v>
      </c>
      <c r="G131" t="s">
        <v>89</v>
      </c>
      <c r="H131" s="2">
        <v>46118</v>
      </c>
      <c r="I131" s="2">
        <v>46150</v>
      </c>
      <c r="J131" s="2"/>
      <c r="K131" s="2"/>
      <c r="L131" t="s">
        <v>37</v>
      </c>
      <c r="M131" t="s">
        <v>37</v>
      </c>
      <c r="N131" t="s">
        <v>12</v>
      </c>
    </row>
    <row r="132" spans="1:16" x14ac:dyDescent="0.3">
      <c r="A132" t="s">
        <v>211</v>
      </c>
      <c r="B132" t="s">
        <v>8</v>
      </c>
      <c r="C132" t="s">
        <v>16</v>
      </c>
      <c r="D132" t="s">
        <v>9</v>
      </c>
      <c r="E132" t="s">
        <v>13</v>
      </c>
      <c r="F132" t="s">
        <v>305</v>
      </c>
      <c r="G132" t="s">
        <v>95</v>
      </c>
      <c r="H132" s="2">
        <v>46079</v>
      </c>
      <c r="I132" s="2">
        <v>46148</v>
      </c>
      <c r="J132" s="2"/>
      <c r="K132" s="2"/>
      <c r="L132" t="s">
        <v>37</v>
      </c>
      <c r="M132" t="s">
        <v>37</v>
      </c>
      <c r="N132" t="s">
        <v>12</v>
      </c>
    </row>
    <row r="133" spans="1:16" x14ac:dyDescent="0.3">
      <c r="A133" t="s">
        <v>212</v>
      </c>
      <c r="B133" t="s">
        <v>8</v>
      </c>
      <c r="C133" t="s">
        <v>17</v>
      </c>
      <c r="D133" t="s">
        <v>9</v>
      </c>
      <c r="E133" t="s">
        <v>13</v>
      </c>
      <c r="F133" t="s">
        <v>306</v>
      </c>
      <c r="G133" t="s">
        <v>89</v>
      </c>
      <c r="H133" s="2">
        <v>46071</v>
      </c>
      <c r="I133" s="2">
        <v>46072</v>
      </c>
      <c r="J133" s="2">
        <v>46073</v>
      </c>
      <c r="K133" s="2">
        <v>46076</v>
      </c>
      <c r="L133">
        <v>6</v>
      </c>
      <c r="M133">
        <v>8.44</v>
      </c>
      <c r="N133" t="s">
        <v>213</v>
      </c>
      <c r="P133" t="s">
        <v>307</v>
      </c>
    </row>
    <row r="134" spans="1:16" x14ac:dyDescent="0.3">
      <c r="A134" t="s">
        <v>215</v>
      </c>
      <c r="B134" t="s">
        <v>8</v>
      </c>
      <c r="C134" t="s">
        <v>17</v>
      </c>
      <c r="D134" t="s">
        <v>9</v>
      </c>
      <c r="E134" t="s">
        <v>13</v>
      </c>
      <c r="F134" t="s">
        <v>216</v>
      </c>
      <c r="G134" t="s">
        <v>95</v>
      </c>
      <c r="H134" s="2">
        <v>45994</v>
      </c>
      <c r="I134" s="2">
        <v>45994</v>
      </c>
      <c r="J134" s="2"/>
      <c r="K134" s="2">
        <v>46038</v>
      </c>
      <c r="L134">
        <v>100</v>
      </c>
      <c r="M134">
        <v>1176.6099999999999</v>
      </c>
      <c r="N134" t="s">
        <v>213</v>
      </c>
    </row>
    <row r="135" spans="1:16" x14ac:dyDescent="0.3">
      <c r="A135" t="s">
        <v>217</v>
      </c>
      <c r="B135" t="s">
        <v>8</v>
      </c>
      <c r="C135" t="s">
        <v>17</v>
      </c>
      <c r="D135" t="s">
        <v>9</v>
      </c>
      <c r="E135" t="s">
        <v>13</v>
      </c>
      <c r="F135" t="s">
        <v>218</v>
      </c>
      <c r="G135" t="s">
        <v>95</v>
      </c>
      <c r="H135" s="2">
        <v>46000</v>
      </c>
      <c r="I135" s="2">
        <v>46002</v>
      </c>
      <c r="J135" s="2"/>
      <c r="K135" s="2">
        <v>46036</v>
      </c>
      <c r="L135">
        <v>100</v>
      </c>
      <c r="M135">
        <v>942.49</v>
      </c>
      <c r="N135" t="s">
        <v>213</v>
      </c>
    </row>
    <row r="136" spans="1:16" x14ac:dyDescent="0.3">
      <c r="A136" t="s">
        <v>219</v>
      </c>
      <c r="B136" t="s">
        <v>8</v>
      </c>
      <c r="C136" t="s">
        <v>16</v>
      </c>
      <c r="D136" t="s">
        <v>9</v>
      </c>
      <c r="F136" t="s">
        <v>220</v>
      </c>
      <c r="G136" t="s">
        <v>95</v>
      </c>
      <c r="H136" s="2"/>
      <c r="I136" s="2">
        <v>46259</v>
      </c>
      <c r="J136" s="2"/>
      <c r="K136" s="2"/>
      <c r="L136" t="s">
        <v>37</v>
      </c>
      <c r="M136" t="s">
        <v>37</v>
      </c>
      <c r="N136" t="s">
        <v>213</v>
      </c>
    </row>
    <row r="137" spans="1:16" x14ac:dyDescent="0.3">
      <c r="A137" t="s">
        <v>221</v>
      </c>
      <c r="B137" t="s">
        <v>8</v>
      </c>
      <c r="C137" t="s">
        <v>16</v>
      </c>
      <c r="D137" t="s">
        <v>9</v>
      </c>
      <c r="F137" t="s">
        <v>214</v>
      </c>
      <c r="G137" t="s">
        <v>95</v>
      </c>
      <c r="H137" s="2"/>
      <c r="I137" s="2">
        <v>46058</v>
      </c>
      <c r="J137" s="2"/>
      <c r="K137" s="2"/>
      <c r="L137" t="s">
        <v>37</v>
      </c>
      <c r="M137" t="s">
        <v>37</v>
      </c>
      <c r="N137" t="s">
        <v>213</v>
      </c>
    </row>
    <row r="138" spans="1:16" x14ac:dyDescent="0.3">
      <c r="A138" t="s">
        <v>222</v>
      </c>
      <c r="B138" t="s">
        <v>8</v>
      </c>
      <c r="C138" t="s">
        <v>17</v>
      </c>
      <c r="D138" t="s">
        <v>9</v>
      </c>
      <c r="E138" t="s">
        <v>13</v>
      </c>
      <c r="F138" t="s">
        <v>308</v>
      </c>
      <c r="G138" t="s">
        <v>89</v>
      </c>
      <c r="H138" s="2">
        <v>46191</v>
      </c>
      <c r="I138" s="2">
        <v>46217</v>
      </c>
      <c r="J138" s="2">
        <v>37454</v>
      </c>
      <c r="K138" s="2">
        <v>46227</v>
      </c>
      <c r="L138">
        <v>24</v>
      </c>
      <c r="M138">
        <v>97.3</v>
      </c>
      <c r="N138" t="s">
        <v>223</v>
      </c>
    </row>
    <row r="139" spans="1:16" x14ac:dyDescent="0.3">
      <c r="A139" t="s">
        <v>224</v>
      </c>
      <c r="B139" t="s">
        <v>8</v>
      </c>
      <c r="C139" t="s">
        <v>17</v>
      </c>
      <c r="D139" t="s">
        <v>9</v>
      </c>
      <c r="E139" t="s">
        <v>314</v>
      </c>
      <c r="F139" t="s">
        <v>225</v>
      </c>
      <c r="G139" t="s">
        <v>89</v>
      </c>
      <c r="H139" s="2"/>
      <c r="I139" s="2">
        <v>46119</v>
      </c>
      <c r="J139" s="2">
        <v>46122</v>
      </c>
      <c r="K139" s="2">
        <v>46147</v>
      </c>
      <c r="L139">
        <v>122</v>
      </c>
      <c r="M139">
        <v>3.61</v>
      </c>
      <c r="N139" t="s">
        <v>223</v>
      </c>
    </row>
    <row r="140" spans="1:16" x14ac:dyDescent="0.3">
      <c r="A140" t="s">
        <v>226</v>
      </c>
      <c r="B140" t="s">
        <v>8</v>
      </c>
      <c r="C140" t="s">
        <v>17</v>
      </c>
      <c r="D140" t="s">
        <v>9</v>
      </c>
      <c r="E140" t="s">
        <v>13</v>
      </c>
      <c r="F140" t="s">
        <v>315</v>
      </c>
      <c r="G140" t="s">
        <v>89</v>
      </c>
      <c r="H140" s="2"/>
      <c r="I140" s="2">
        <v>46106</v>
      </c>
      <c r="J140" s="2"/>
      <c r="K140" s="2">
        <v>46132</v>
      </c>
      <c r="L140">
        <v>62</v>
      </c>
      <c r="M140">
        <v>101.23</v>
      </c>
      <c r="N140" t="s">
        <v>223</v>
      </c>
    </row>
    <row r="141" spans="1:16" x14ac:dyDescent="0.3">
      <c r="A141" t="s">
        <v>227</v>
      </c>
      <c r="B141" t="s">
        <v>8</v>
      </c>
      <c r="C141" t="s">
        <v>319</v>
      </c>
      <c r="D141" t="s">
        <v>9</v>
      </c>
      <c r="E141" t="s">
        <v>13</v>
      </c>
      <c r="F141" t="s">
        <v>309</v>
      </c>
      <c r="G141" t="s">
        <v>95</v>
      </c>
      <c r="H141" s="2">
        <v>46209</v>
      </c>
      <c r="I141" s="2">
        <v>46260</v>
      </c>
      <c r="J141" s="2"/>
      <c r="K141" s="2">
        <v>46279</v>
      </c>
      <c r="L141">
        <v>3</v>
      </c>
      <c r="M141">
        <v>2.161</v>
      </c>
      <c r="N141" t="s">
        <v>12</v>
      </c>
    </row>
    <row r="142" spans="1:16" x14ac:dyDescent="0.3">
      <c r="A142" t="s">
        <v>228</v>
      </c>
      <c r="B142" t="s">
        <v>8</v>
      </c>
      <c r="C142" t="s">
        <v>16</v>
      </c>
      <c r="D142" t="s">
        <v>9</v>
      </c>
      <c r="F142" t="s">
        <v>229</v>
      </c>
      <c r="G142" t="s">
        <v>36</v>
      </c>
      <c r="H142" s="2"/>
      <c r="I142" s="2">
        <v>46247</v>
      </c>
      <c r="J142" s="2"/>
      <c r="K142" s="2"/>
      <c r="L142" t="s">
        <v>37</v>
      </c>
      <c r="M142" t="s">
        <v>37</v>
      </c>
      <c r="N142" t="s">
        <v>12</v>
      </c>
    </row>
    <row r="143" spans="1:16" x14ac:dyDescent="0.3">
      <c r="A143" t="s">
        <v>230</v>
      </c>
      <c r="B143" t="s">
        <v>8</v>
      </c>
      <c r="C143" t="s">
        <v>16</v>
      </c>
      <c r="D143" t="s">
        <v>4</v>
      </c>
      <c r="F143" t="s">
        <v>231</v>
      </c>
      <c r="G143" t="s">
        <v>89</v>
      </c>
      <c r="H143" s="2"/>
      <c r="I143" s="2">
        <v>46237</v>
      </c>
      <c r="J143" s="2"/>
      <c r="K143" s="2"/>
      <c r="L143" t="s">
        <v>37</v>
      </c>
      <c r="M143" t="s">
        <v>37</v>
      </c>
      <c r="N143" t="s">
        <v>12</v>
      </c>
    </row>
    <row r="144" spans="1:16" x14ac:dyDescent="0.3">
      <c r="A144" t="s">
        <v>232</v>
      </c>
      <c r="B144" t="s">
        <v>8</v>
      </c>
      <c r="C144" t="s">
        <v>17</v>
      </c>
      <c r="D144" t="s">
        <v>9</v>
      </c>
      <c r="E144" t="s">
        <v>15</v>
      </c>
      <c r="F144" t="s">
        <v>30</v>
      </c>
      <c r="G144" t="s">
        <v>89</v>
      </c>
      <c r="H144" s="2">
        <v>46009</v>
      </c>
      <c r="I144" s="2">
        <v>46083</v>
      </c>
      <c r="J144" s="2"/>
      <c r="K144" s="2">
        <v>46248</v>
      </c>
      <c r="L144">
        <v>339</v>
      </c>
      <c r="M144">
        <v>67.849999999999994</v>
      </c>
      <c r="N144" t="s">
        <v>12</v>
      </c>
      <c r="O144">
        <v>1</v>
      </c>
    </row>
    <row r="145" spans="1:14" x14ac:dyDescent="0.3">
      <c r="A145" t="s">
        <v>234</v>
      </c>
      <c r="B145" t="s">
        <v>8</v>
      </c>
      <c r="C145" t="s">
        <v>17</v>
      </c>
      <c r="D145" t="s">
        <v>9</v>
      </c>
      <c r="E145" t="s">
        <v>13</v>
      </c>
      <c r="F145" t="s">
        <v>316</v>
      </c>
      <c r="G145" t="s">
        <v>89</v>
      </c>
      <c r="H145" s="2">
        <v>46217</v>
      </c>
      <c r="I145" s="2">
        <v>46247</v>
      </c>
      <c r="J145" s="2"/>
      <c r="K145" s="2">
        <v>46253</v>
      </c>
      <c r="L145">
        <v>10</v>
      </c>
      <c r="M145">
        <v>10.949</v>
      </c>
      <c r="N145" t="s">
        <v>12</v>
      </c>
    </row>
    <row r="146" spans="1:14" x14ac:dyDescent="0.3">
      <c r="A146" t="s">
        <v>235</v>
      </c>
      <c r="B146" t="s">
        <v>8</v>
      </c>
      <c r="C146" t="s">
        <v>17</v>
      </c>
      <c r="D146" t="s">
        <v>9</v>
      </c>
      <c r="E146" t="s">
        <v>13</v>
      </c>
      <c r="F146" t="s">
        <v>236</v>
      </c>
      <c r="G146" t="s">
        <v>95</v>
      </c>
      <c r="H146" s="2">
        <v>45826</v>
      </c>
      <c r="I146" s="2">
        <v>46228</v>
      </c>
      <c r="J146" s="2"/>
      <c r="K146" s="2">
        <v>45910</v>
      </c>
      <c r="L146">
        <v>68</v>
      </c>
      <c r="M146">
        <v>1210.6400000000001</v>
      </c>
      <c r="N146" t="s">
        <v>12</v>
      </c>
    </row>
    <row r="147" spans="1:14" x14ac:dyDescent="0.3">
      <c r="A147" t="s">
        <v>237</v>
      </c>
      <c r="B147" t="s">
        <v>8</v>
      </c>
      <c r="C147" t="s">
        <v>17</v>
      </c>
      <c r="D147" t="s">
        <v>9</v>
      </c>
      <c r="E147" t="s">
        <v>13</v>
      </c>
      <c r="F147" t="s">
        <v>238</v>
      </c>
      <c r="G147" t="s">
        <v>95</v>
      </c>
      <c r="H147" s="2">
        <v>45866</v>
      </c>
      <c r="I147" s="2">
        <v>45884</v>
      </c>
      <c r="J147" s="2"/>
      <c r="K147" s="2">
        <v>45905</v>
      </c>
      <c r="L147">
        <v>1</v>
      </c>
      <c r="M147">
        <v>6.7350000000000003</v>
      </c>
      <c r="N147" t="s">
        <v>12</v>
      </c>
    </row>
    <row r="148" spans="1:14" x14ac:dyDescent="0.3">
      <c r="A148" t="s">
        <v>317</v>
      </c>
      <c r="B148" t="s">
        <v>8</v>
      </c>
      <c r="C148" t="s">
        <v>17</v>
      </c>
      <c r="D148" t="s">
        <v>9</v>
      </c>
      <c r="E148" t="s">
        <v>13</v>
      </c>
      <c r="F148" t="s">
        <v>239</v>
      </c>
      <c r="G148" t="s">
        <v>95</v>
      </c>
      <c r="H148" s="2">
        <v>45856</v>
      </c>
      <c r="I148" s="2">
        <v>45880</v>
      </c>
      <c r="J148" s="2"/>
      <c r="K148" s="2">
        <v>45905</v>
      </c>
      <c r="L148">
        <v>1</v>
      </c>
      <c r="M148">
        <v>16.376999999999999</v>
      </c>
      <c r="N148" t="s">
        <v>12</v>
      </c>
    </row>
    <row r="149" spans="1:14" x14ac:dyDescent="0.3">
      <c r="A149" t="s">
        <v>240</v>
      </c>
      <c r="B149" t="s">
        <v>8</v>
      </c>
      <c r="C149" t="s">
        <v>17</v>
      </c>
      <c r="D149" t="s">
        <v>9</v>
      </c>
      <c r="E149" t="s">
        <v>13</v>
      </c>
      <c r="F149" t="s">
        <v>241</v>
      </c>
      <c r="G149" t="s">
        <v>89</v>
      </c>
      <c r="H149" s="2">
        <v>45758</v>
      </c>
      <c r="I149" s="2">
        <v>45817</v>
      </c>
      <c r="J149" s="2"/>
      <c r="K149" s="2">
        <v>45905</v>
      </c>
      <c r="L149">
        <v>15</v>
      </c>
      <c r="M149">
        <v>1.83</v>
      </c>
      <c r="N149" t="s">
        <v>12</v>
      </c>
    </row>
    <row r="150" spans="1:14" x14ac:dyDescent="0.3">
      <c r="A150" t="s">
        <v>242</v>
      </c>
      <c r="B150" t="s">
        <v>8</v>
      </c>
      <c r="C150" t="s">
        <v>17</v>
      </c>
      <c r="D150" t="s">
        <v>9</v>
      </c>
      <c r="E150" t="s">
        <v>13</v>
      </c>
      <c r="F150" t="s">
        <v>243</v>
      </c>
      <c r="G150" t="s">
        <v>95</v>
      </c>
      <c r="H150" s="2">
        <v>45854</v>
      </c>
      <c r="I150" s="2">
        <v>45868</v>
      </c>
      <c r="J150" s="2"/>
      <c r="K150" s="2">
        <v>45902</v>
      </c>
      <c r="L150">
        <v>2</v>
      </c>
      <c r="M150">
        <v>54.24</v>
      </c>
      <c r="N150" t="s">
        <v>12</v>
      </c>
    </row>
    <row r="151" spans="1:14" x14ac:dyDescent="0.3">
      <c r="A151" t="s">
        <v>244</v>
      </c>
      <c r="B151" t="s">
        <v>8</v>
      </c>
      <c r="C151" t="s">
        <v>17</v>
      </c>
      <c r="D151" t="s">
        <v>9</v>
      </c>
      <c r="E151" t="s">
        <v>13</v>
      </c>
      <c r="F151" t="s">
        <v>245</v>
      </c>
      <c r="G151" t="s">
        <v>95</v>
      </c>
      <c r="H151" s="2">
        <v>45804</v>
      </c>
      <c r="I151" s="2">
        <v>45817</v>
      </c>
      <c r="J151" s="2"/>
      <c r="K151" s="2">
        <v>45908</v>
      </c>
      <c r="L151">
        <v>1</v>
      </c>
      <c r="M151">
        <v>13.68</v>
      </c>
      <c r="N151" t="s">
        <v>12</v>
      </c>
    </row>
    <row r="152" spans="1:14" x14ac:dyDescent="0.3">
      <c r="A152" t="s">
        <v>246</v>
      </c>
      <c r="B152" t="s">
        <v>8</v>
      </c>
      <c r="C152" t="s">
        <v>16</v>
      </c>
      <c r="D152" t="s">
        <v>9</v>
      </c>
      <c r="F152" t="s">
        <v>247</v>
      </c>
      <c r="G152" t="s">
        <v>95</v>
      </c>
      <c r="H152" s="2"/>
      <c r="I152" s="2">
        <v>45912</v>
      </c>
      <c r="J152" s="2"/>
      <c r="K152" s="2"/>
      <c r="L152" t="s">
        <v>37</v>
      </c>
      <c r="M152" t="s">
        <v>37</v>
      </c>
      <c r="N152" t="s">
        <v>12</v>
      </c>
    </row>
    <row r="153" spans="1:14" x14ac:dyDescent="0.3">
      <c r="A153" t="s">
        <v>248</v>
      </c>
      <c r="B153" t="s">
        <v>8</v>
      </c>
      <c r="C153" t="s">
        <v>16</v>
      </c>
      <c r="D153" t="s">
        <v>9</v>
      </c>
      <c r="F153" t="s">
        <v>249</v>
      </c>
      <c r="G153" t="s">
        <v>95</v>
      </c>
      <c r="H153" s="2"/>
      <c r="I153" s="2">
        <v>45912</v>
      </c>
      <c r="J153" s="2"/>
      <c r="K153" s="2"/>
      <c r="L153" t="s">
        <v>37</v>
      </c>
      <c r="M153" t="s">
        <v>37</v>
      </c>
      <c r="N153" t="s">
        <v>12</v>
      </c>
    </row>
    <row r="154" spans="1:14" x14ac:dyDescent="0.3">
      <c r="A154" t="s">
        <v>250</v>
      </c>
      <c r="B154" t="s">
        <v>8</v>
      </c>
      <c r="C154" t="s">
        <v>16</v>
      </c>
      <c r="D154" t="s">
        <v>9</v>
      </c>
      <c r="F154" t="s">
        <v>249</v>
      </c>
      <c r="G154" t="s">
        <v>95</v>
      </c>
      <c r="H154" s="2"/>
      <c r="I154" s="2">
        <v>45912</v>
      </c>
      <c r="J154" s="2"/>
      <c r="K154" s="2"/>
      <c r="L154" t="s">
        <v>37</v>
      </c>
      <c r="M154" t="s">
        <v>37</v>
      </c>
      <c r="N154" t="s">
        <v>12</v>
      </c>
    </row>
    <row r="155" spans="1:14" x14ac:dyDescent="0.3">
      <c r="A155" t="s">
        <v>251</v>
      </c>
      <c r="B155" t="s">
        <v>8</v>
      </c>
      <c r="C155" t="s">
        <v>16</v>
      </c>
      <c r="D155" t="s">
        <v>9</v>
      </c>
      <c r="F155" t="s">
        <v>252</v>
      </c>
      <c r="G155" t="s">
        <v>95</v>
      </c>
      <c r="H155" s="2"/>
      <c r="I155" s="2">
        <v>45912</v>
      </c>
      <c r="J155" s="2"/>
      <c r="K155" s="2"/>
      <c r="L155" t="s">
        <v>37</v>
      </c>
      <c r="M155" t="s">
        <v>37</v>
      </c>
      <c r="N155" t="s">
        <v>12</v>
      </c>
    </row>
    <row r="156" spans="1:14" x14ac:dyDescent="0.3">
      <c r="A156" t="s">
        <v>253</v>
      </c>
      <c r="B156" t="s">
        <v>8</v>
      </c>
      <c r="C156" t="s">
        <v>16</v>
      </c>
      <c r="D156" t="s">
        <v>9</v>
      </c>
      <c r="E156" t="s">
        <v>13</v>
      </c>
      <c r="F156" t="s">
        <v>310</v>
      </c>
      <c r="G156" t="s">
        <v>95</v>
      </c>
      <c r="H156" s="2">
        <v>45860</v>
      </c>
      <c r="I156" s="2">
        <v>45908</v>
      </c>
      <c r="J156" s="2"/>
      <c r="K156" s="2"/>
      <c r="L156">
        <v>82</v>
      </c>
      <c r="M156" t="s">
        <v>37</v>
      </c>
      <c r="N156" t="s">
        <v>12</v>
      </c>
    </row>
    <row r="157" spans="1:14" x14ac:dyDescent="0.3">
      <c r="A157" t="s">
        <v>254</v>
      </c>
      <c r="B157" t="s">
        <v>8</v>
      </c>
      <c r="C157" t="s">
        <v>16</v>
      </c>
      <c r="D157" t="s">
        <v>9</v>
      </c>
      <c r="E157" t="s">
        <v>13</v>
      </c>
      <c r="F157" t="s">
        <v>311</v>
      </c>
      <c r="G157" t="s">
        <v>95</v>
      </c>
      <c r="H157" s="2">
        <v>45866</v>
      </c>
      <c r="I157" s="2">
        <v>45908</v>
      </c>
      <c r="J157" s="2"/>
      <c r="K157" s="2"/>
      <c r="L157">
        <v>93</v>
      </c>
      <c r="M157" t="s">
        <v>37</v>
      </c>
      <c r="N157" t="s">
        <v>12</v>
      </c>
    </row>
    <row r="158" spans="1:14" x14ac:dyDescent="0.3">
      <c r="A158" t="s">
        <v>255</v>
      </c>
      <c r="B158" t="s">
        <v>8</v>
      </c>
      <c r="C158" t="s">
        <v>16</v>
      </c>
      <c r="D158" t="s">
        <v>9</v>
      </c>
      <c r="E158" t="s">
        <v>13</v>
      </c>
      <c r="F158" t="s">
        <v>312</v>
      </c>
      <c r="G158" t="s">
        <v>95</v>
      </c>
      <c r="H158" s="2">
        <v>45866</v>
      </c>
      <c r="I158" s="2">
        <v>45908</v>
      </c>
      <c r="J158" s="2"/>
      <c r="K158" s="2"/>
      <c r="L158">
        <v>77</v>
      </c>
      <c r="M158" t="s">
        <v>37</v>
      </c>
      <c r="N158" t="s">
        <v>12</v>
      </c>
    </row>
    <row r="159" spans="1:14" x14ac:dyDescent="0.3">
      <c r="A159" t="s">
        <v>256</v>
      </c>
      <c r="B159" t="s">
        <v>8</v>
      </c>
      <c r="C159" t="s">
        <v>16</v>
      </c>
      <c r="D159" t="s">
        <v>9</v>
      </c>
      <c r="E159" t="s">
        <v>13</v>
      </c>
      <c r="F159" t="s">
        <v>313</v>
      </c>
      <c r="G159" t="s">
        <v>95</v>
      </c>
      <c r="H159" s="2">
        <v>45860</v>
      </c>
      <c r="I159" s="2">
        <v>45908</v>
      </c>
      <c r="J159" s="2"/>
      <c r="K159" s="2"/>
      <c r="L159">
        <v>73</v>
      </c>
      <c r="M159" t="s">
        <v>37</v>
      </c>
      <c r="N159" t="s">
        <v>12</v>
      </c>
    </row>
    <row r="160" spans="1:14" x14ac:dyDescent="0.3">
      <c r="A160" t="s">
        <v>257</v>
      </c>
      <c r="B160" t="s">
        <v>8</v>
      </c>
      <c r="C160" t="s">
        <v>16</v>
      </c>
      <c r="D160" t="s">
        <v>9</v>
      </c>
      <c r="F160" t="s">
        <v>28</v>
      </c>
      <c r="G160" t="s">
        <v>89</v>
      </c>
      <c r="H160" s="2">
        <v>45873</v>
      </c>
      <c r="I160" s="2">
        <v>45901</v>
      </c>
      <c r="J160" s="2"/>
      <c r="K160" s="2"/>
      <c r="L160" t="s">
        <v>37</v>
      </c>
      <c r="M160" t="s">
        <v>37</v>
      </c>
      <c r="N160" t="s">
        <v>12</v>
      </c>
    </row>
    <row r="161" spans="1:14" x14ac:dyDescent="0.3">
      <c r="A161" t="s">
        <v>258</v>
      </c>
      <c r="B161" t="s">
        <v>8</v>
      </c>
      <c r="C161" t="s">
        <v>16</v>
      </c>
      <c r="D161" t="s">
        <v>9</v>
      </c>
      <c r="F161" t="s">
        <v>28</v>
      </c>
      <c r="G161" t="s">
        <v>89</v>
      </c>
      <c r="H161" s="2">
        <v>45873</v>
      </c>
      <c r="I161" s="2">
        <v>45901</v>
      </c>
      <c r="J161" s="2"/>
      <c r="K161" s="2"/>
      <c r="L161" t="s">
        <v>37</v>
      </c>
      <c r="M161" t="s">
        <v>37</v>
      </c>
      <c r="N161" t="s">
        <v>12</v>
      </c>
    </row>
    <row r="162" spans="1:14" x14ac:dyDescent="0.3">
      <c r="A162" t="s">
        <v>259</v>
      </c>
      <c r="B162" t="s">
        <v>8</v>
      </c>
      <c r="C162" t="s">
        <v>16</v>
      </c>
      <c r="D162" t="s">
        <v>9</v>
      </c>
      <c r="F162" t="s">
        <v>28</v>
      </c>
      <c r="G162" t="s">
        <v>89</v>
      </c>
      <c r="H162" s="2">
        <v>45873</v>
      </c>
      <c r="I162" s="2">
        <v>45901</v>
      </c>
      <c r="J162" s="2"/>
      <c r="K162" s="2"/>
      <c r="L162" t="s">
        <v>37</v>
      </c>
      <c r="M162" t="s">
        <v>37</v>
      </c>
      <c r="N162" t="s">
        <v>12</v>
      </c>
    </row>
    <row r="163" spans="1:14" x14ac:dyDescent="0.3">
      <c r="A163" t="s">
        <v>260</v>
      </c>
      <c r="B163" t="s">
        <v>8</v>
      </c>
      <c r="C163" t="s">
        <v>16</v>
      </c>
      <c r="D163" t="s">
        <v>9</v>
      </c>
      <c r="F163" t="s">
        <v>28</v>
      </c>
      <c r="G163" t="s">
        <v>89</v>
      </c>
      <c r="H163" s="2">
        <v>45894</v>
      </c>
      <c r="I163" s="2">
        <v>45901</v>
      </c>
      <c r="J163" s="2"/>
      <c r="K163" s="2"/>
      <c r="L163" t="s">
        <v>37</v>
      </c>
      <c r="M163" t="s">
        <v>37</v>
      </c>
      <c r="N163" t="s">
        <v>12</v>
      </c>
    </row>
    <row r="164" spans="1:14" x14ac:dyDescent="0.3">
      <c r="A164" t="s">
        <v>261</v>
      </c>
      <c r="B164" t="s">
        <v>8</v>
      </c>
      <c r="C164" t="s">
        <v>16</v>
      </c>
      <c r="D164" t="s">
        <v>9</v>
      </c>
      <c r="F164" t="s">
        <v>262</v>
      </c>
      <c r="G164" t="s">
        <v>89</v>
      </c>
      <c r="H164" s="2">
        <v>45351</v>
      </c>
      <c r="I164" s="2">
        <v>45901</v>
      </c>
      <c r="J164" s="2"/>
      <c r="K164" s="2"/>
      <c r="L164" t="s">
        <v>37</v>
      </c>
      <c r="M164" t="s">
        <v>37</v>
      </c>
      <c r="N164" t="s">
        <v>12</v>
      </c>
    </row>
    <row r="165" spans="1:14" x14ac:dyDescent="0.3">
      <c r="A165" t="s">
        <v>263</v>
      </c>
      <c r="B165" t="s">
        <v>8</v>
      </c>
      <c r="C165" t="s">
        <v>16</v>
      </c>
      <c r="D165" t="s">
        <v>9</v>
      </c>
      <c r="F165" t="s">
        <v>264</v>
      </c>
      <c r="G165" t="s">
        <v>89</v>
      </c>
      <c r="H165" s="2">
        <v>45849</v>
      </c>
      <c r="I165" s="2">
        <v>45901</v>
      </c>
      <c r="J165" s="2"/>
      <c r="K165" s="2"/>
      <c r="L165" t="s">
        <v>37</v>
      </c>
      <c r="M165" t="s">
        <v>37</v>
      </c>
      <c r="N165" t="s">
        <v>12</v>
      </c>
    </row>
    <row r="166" spans="1:14" x14ac:dyDescent="0.3">
      <c r="A166" t="s">
        <v>265</v>
      </c>
      <c r="B166" t="s">
        <v>8</v>
      </c>
      <c r="C166" t="s">
        <v>16</v>
      </c>
      <c r="D166" t="s">
        <v>4</v>
      </c>
      <c r="F166" t="s">
        <v>266</v>
      </c>
      <c r="G166" t="s">
        <v>89</v>
      </c>
      <c r="H166" s="2"/>
      <c r="I166" s="2">
        <v>45909</v>
      </c>
      <c r="J166" s="2"/>
      <c r="K166" s="2"/>
      <c r="L166" t="s">
        <v>37</v>
      </c>
      <c r="M166" t="s">
        <v>37</v>
      </c>
      <c r="N166" t="s">
        <v>12</v>
      </c>
    </row>
    <row r="167" spans="1:14" x14ac:dyDescent="0.3">
      <c r="B167" t="s">
        <v>8</v>
      </c>
      <c r="C167" t="s">
        <v>17</v>
      </c>
      <c r="D167" t="s">
        <v>9</v>
      </c>
      <c r="E167" t="s">
        <v>15</v>
      </c>
      <c r="F167" t="s">
        <v>205</v>
      </c>
      <c r="G167" t="s">
        <v>89</v>
      </c>
      <c r="H167" s="2">
        <v>45146</v>
      </c>
      <c r="I167" s="2">
        <v>45160</v>
      </c>
      <c r="J167" s="2">
        <v>45167</v>
      </c>
      <c r="K167" s="2">
        <v>45251</v>
      </c>
      <c r="L167" s="3">
        <v>979</v>
      </c>
      <c r="M167" s="1">
        <v>335.5</v>
      </c>
    </row>
    <row r="168" spans="1:14" x14ac:dyDescent="0.3">
      <c r="B168" t="s">
        <v>8</v>
      </c>
      <c r="C168" t="s">
        <v>17</v>
      </c>
      <c r="D168" t="s">
        <v>9</v>
      </c>
      <c r="E168" t="s">
        <v>15</v>
      </c>
      <c r="F168" t="s">
        <v>203</v>
      </c>
      <c r="H168" s="2">
        <v>46100</v>
      </c>
      <c r="I168" s="2">
        <v>46163</v>
      </c>
      <c r="J168" s="2"/>
      <c r="K168" s="2">
        <v>46272</v>
      </c>
      <c r="L168" s="1">
        <f>469+404</f>
        <v>873</v>
      </c>
      <c r="M168" s="1">
        <v>22.440999999999999</v>
      </c>
    </row>
    <row r="169" spans="1:14" x14ac:dyDescent="0.3">
      <c r="B169" t="s">
        <v>8</v>
      </c>
      <c r="C169" t="s">
        <v>17</v>
      </c>
      <c r="D169" t="s">
        <v>9</v>
      </c>
      <c r="E169" t="s">
        <v>15</v>
      </c>
      <c r="F169" t="s">
        <v>95</v>
      </c>
      <c r="G169" t="s">
        <v>95</v>
      </c>
      <c r="H169" s="2">
        <v>46027</v>
      </c>
      <c r="I169" s="2">
        <v>46118</v>
      </c>
      <c r="J169" s="2"/>
      <c r="K169" s="2">
        <v>46272</v>
      </c>
      <c r="L169" s="3">
        <v>94</v>
      </c>
      <c r="M169" s="1">
        <v>287.91000000000003</v>
      </c>
    </row>
    <row r="170" spans="1:14" x14ac:dyDescent="0.3">
      <c r="B170" t="s">
        <v>8</v>
      </c>
      <c r="C170" t="s">
        <v>17</v>
      </c>
      <c r="D170" t="s">
        <v>9</v>
      </c>
      <c r="E170" t="s">
        <v>15</v>
      </c>
      <c r="F170" t="s">
        <v>318</v>
      </c>
      <c r="G170" t="s">
        <v>89</v>
      </c>
      <c r="H170" s="2"/>
      <c r="I170" s="2">
        <v>45392</v>
      </c>
      <c r="J170" s="2">
        <v>45402</v>
      </c>
      <c r="K170" s="2">
        <v>45609</v>
      </c>
      <c r="L170" s="1">
        <v>11</v>
      </c>
      <c r="M170" s="1">
        <v>24.26</v>
      </c>
      <c r="N170" t="s">
        <v>12</v>
      </c>
    </row>
    <row r="171" spans="1:14" x14ac:dyDescent="0.3">
      <c r="B171" t="s">
        <v>8</v>
      </c>
      <c r="C171" t="s">
        <v>319</v>
      </c>
      <c r="D171" t="s">
        <v>9</v>
      </c>
      <c r="E171" t="s">
        <v>13</v>
      </c>
      <c r="F171" t="s">
        <v>209</v>
      </c>
      <c r="G171" t="s">
        <v>89</v>
      </c>
      <c r="H171" s="2">
        <v>45166</v>
      </c>
      <c r="I171" s="2">
        <v>45253</v>
      </c>
      <c r="J171" s="2"/>
      <c r="K171" s="2">
        <v>45271</v>
      </c>
      <c r="L171" s="1">
        <v>42</v>
      </c>
      <c r="M171" s="1">
        <v>443.39400000000001</v>
      </c>
      <c r="N171" t="s">
        <v>12</v>
      </c>
    </row>
    <row r="172" spans="1:14" x14ac:dyDescent="0.3">
      <c r="B172" t="s">
        <v>8</v>
      </c>
      <c r="C172" t="s">
        <v>17</v>
      </c>
      <c r="D172" t="s">
        <v>9</v>
      </c>
      <c r="E172" t="s">
        <v>15</v>
      </c>
      <c r="F172" t="s">
        <v>43</v>
      </c>
      <c r="G172" t="s">
        <v>89</v>
      </c>
      <c r="H172" s="2">
        <v>46149</v>
      </c>
      <c r="I172" s="2">
        <v>46269</v>
      </c>
      <c r="J172" s="2"/>
      <c r="K172" s="2"/>
      <c r="L172" s="1"/>
      <c r="M172" s="1"/>
    </row>
    <row r="173" spans="1:14" x14ac:dyDescent="0.3">
      <c r="B173" t="s">
        <v>8</v>
      </c>
      <c r="C173" t="s">
        <v>17</v>
      </c>
      <c r="D173" t="s">
        <v>9</v>
      </c>
      <c r="E173" t="s">
        <v>15</v>
      </c>
      <c r="F173" t="s">
        <v>318</v>
      </c>
      <c r="G173" t="s">
        <v>89</v>
      </c>
      <c r="H173" s="2"/>
      <c r="I173" s="2">
        <v>45392</v>
      </c>
      <c r="J173" s="2">
        <v>45400</v>
      </c>
      <c r="K173" s="2">
        <v>45609</v>
      </c>
      <c r="L173" s="1">
        <v>117</v>
      </c>
      <c r="M173" s="1">
        <v>10.36</v>
      </c>
      <c r="N173" t="s">
        <v>12</v>
      </c>
    </row>
    <row r="174" spans="1:14" x14ac:dyDescent="0.3">
      <c r="B174" t="s">
        <v>8</v>
      </c>
      <c r="C174" t="s">
        <v>17</v>
      </c>
      <c r="D174" t="s">
        <v>9</v>
      </c>
      <c r="E174" t="s">
        <v>15</v>
      </c>
      <c r="F174" t="s">
        <v>318</v>
      </c>
      <c r="G174" t="s">
        <v>89</v>
      </c>
      <c r="H174" s="2"/>
      <c r="I174" s="2">
        <v>45392</v>
      </c>
      <c r="J174" s="2">
        <v>45392</v>
      </c>
      <c r="K174" s="2">
        <v>45609</v>
      </c>
      <c r="L174" s="1"/>
      <c r="M174" s="1"/>
    </row>
    <row r="175" spans="1:14" x14ac:dyDescent="0.3">
      <c r="B175" t="s">
        <v>8</v>
      </c>
      <c r="C175" t="s">
        <v>17</v>
      </c>
      <c r="D175" t="s">
        <v>9</v>
      </c>
      <c r="E175" t="s">
        <v>15</v>
      </c>
      <c r="F175" t="s">
        <v>28</v>
      </c>
      <c r="G175" t="s">
        <v>89</v>
      </c>
      <c r="H175" s="2">
        <v>45643</v>
      </c>
      <c r="I175" s="2">
        <v>45800</v>
      </c>
      <c r="J175" s="2"/>
      <c r="K175" s="2">
        <v>45994</v>
      </c>
      <c r="L175" s="1">
        <v>152</v>
      </c>
      <c r="M175" s="1">
        <v>100.06</v>
      </c>
      <c r="N175" t="s">
        <v>12</v>
      </c>
    </row>
    <row r="176" spans="1:14" x14ac:dyDescent="0.3">
      <c r="B176" t="s">
        <v>8</v>
      </c>
      <c r="C176" t="s">
        <v>17</v>
      </c>
      <c r="D176" t="s">
        <v>9</v>
      </c>
      <c r="E176" t="s">
        <v>15</v>
      </c>
      <c r="F176" t="s">
        <v>28</v>
      </c>
      <c r="G176" t="s">
        <v>89</v>
      </c>
      <c r="H176" s="2">
        <v>45750</v>
      </c>
      <c r="I176" s="2">
        <v>45868</v>
      </c>
      <c r="J176" s="2"/>
      <c r="K176" s="2">
        <v>46129</v>
      </c>
      <c r="L176" s="1">
        <v>25</v>
      </c>
      <c r="M176" s="1">
        <v>3.54</v>
      </c>
      <c r="N176" t="s">
        <v>12</v>
      </c>
    </row>
    <row r="177" spans="2:14" x14ac:dyDescent="0.3">
      <c r="B177" t="s">
        <v>8</v>
      </c>
      <c r="C177" t="s">
        <v>17</v>
      </c>
      <c r="D177" t="s">
        <v>9</v>
      </c>
      <c r="E177" t="s">
        <v>15</v>
      </c>
      <c r="F177" t="s">
        <v>28</v>
      </c>
      <c r="G177" t="s">
        <v>89</v>
      </c>
      <c r="H177" s="2">
        <v>45812</v>
      </c>
      <c r="I177" s="2">
        <v>45868</v>
      </c>
      <c r="J177" s="2"/>
      <c r="K177" s="2">
        <v>46129</v>
      </c>
      <c r="L177" s="1">
        <v>1</v>
      </c>
      <c r="M177" s="1">
        <v>1.99</v>
      </c>
      <c r="N177" t="s">
        <v>12</v>
      </c>
    </row>
    <row r="178" spans="2:14" x14ac:dyDescent="0.3">
      <c r="L178" s="1"/>
      <c r="M178" s="1"/>
    </row>
  </sheetData>
  <autoFilter ref="A1:P177" xr:uid="{7620F5B7-47DE-4BC5-A97E-98454B0A0CF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ACC9-7D8C-4C1E-89D4-194B1C06F8B7}">
  <dimension ref="B2:F120"/>
  <sheetViews>
    <sheetView workbookViewId="0">
      <selection activeCell="F8" sqref="F8"/>
    </sheetView>
  </sheetViews>
  <sheetFormatPr baseColWidth="10" defaultRowHeight="14.4" x14ac:dyDescent="0.3"/>
  <cols>
    <col min="6" max="6" width="105.5546875" bestFit="1" customWidth="1"/>
    <col min="8" max="8" width="105.5546875" bestFit="1" customWidth="1"/>
  </cols>
  <sheetData>
    <row r="2" spans="2:6" x14ac:dyDescent="0.3">
      <c r="B2" t="str" cm="1">
        <f t="array" ref="B2:B107">+_xlfn.UNIQUE(Hoja2!F2:F172)</f>
        <v>JUNTA DE ACCION COMUNAL DE LA VEREDA LA PALIZÁ DEL CORREGIMIENTO DE NUEVAS FLORES DEL MUNICIPIO DE SAN DIEGO</v>
      </c>
      <c r="F2" t="s">
        <v>159</v>
      </c>
    </row>
    <row r="3" spans="2:6" x14ac:dyDescent="0.3">
      <c r="B3" t="str">
        <v>CLUB VALLEDUPAR S.A</v>
      </c>
      <c r="F3" t="s">
        <v>274</v>
      </c>
    </row>
    <row r="4" spans="2:6" x14ac:dyDescent="0.3">
      <c r="B4" t="str">
        <v>OLIVERIO CARDENAS QUINTERO</v>
      </c>
      <c r="F4" t="s">
        <v>306</v>
      </c>
    </row>
    <row r="5" spans="2:6" x14ac:dyDescent="0.3">
      <c r="B5" t="str">
        <v>ERCO ENERGÍA S.A.S</v>
      </c>
      <c r="F5" t="s">
        <v>277</v>
      </c>
    </row>
    <row r="6" spans="2:6" x14ac:dyDescent="0.3">
      <c r="B6" t="str">
        <v>UNERGY ENERGÍA DIGITAL S.A.S ESP</v>
      </c>
      <c r="F6" t="s">
        <v>285</v>
      </c>
    </row>
    <row r="7" spans="2:6" x14ac:dyDescent="0.3">
      <c r="B7" t="str">
        <v>BORIS ANTONIO ANDRADE MOVILLA</v>
      </c>
      <c r="F7" t="s">
        <v>276</v>
      </c>
    </row>
    <row r="8" spans="2:6" x14ac:dyDescent="0.3">
      <c r="B8" t="str">
        <v>CONSORCIO CONSTRUCTOR AUTOPISTA DEL RIO GRANDE</v>
      </c>
      <c r="F8" t="s">
        <v>290</v>
      </c>
    </row>
    <row r="9" spans="2:6" x14ac:dyDescent="0.3">
      <c r="B9" t="str">
        <v>CARMEN DOLORES BERRIO MAESTRE</v>
      </c>
      <c r="F9" t="s">
        <v>18</v>
      </c>
    </row>
    <row r="10" spans="2:6" x14ac:dyDescent="0.3">
      <c r="B10" t="str">
        <v>ATLANTICA- HIC RENOVABLES S.A.S</v>
      </c>
      <c r="F10" t="s">
        <v>32</v>
      </c>
    </row>
    <row r="11" spans="2:6" x14ac:dyDescent="0.3">
      <c r="B11" t="str">
        <v>EXTRACTORA SICARARE S.A.S</v>
      </c>
      <c r="F11" t="s">
        <v>194</v>
      </c>
    </row>
    <row r="12" spans="2:6" x14ac:dyDescent="0.3">
      <c r="B12" t="str">
        <v>MARÍA CLAUDIA VILLERO ARZUAGA</v>
      </c>
      <c r="F12" t="s">
        <v>30</v>
      </c>
    </row>
    <row r="13" spans="2:6" x14ac:dyDescent="0.3">
      <c r="B13" t="str">
        <v>LASCANO MORALES &amp; HIJOS S.C.S</v>
      </c>
      <c r="F13" t="s">
        <v>233</v>
      </c>
    </row>
    <row r="14" spans="2:6" x14ac:dyDescent="0.3">
      <c r="B14" t="str">
        <v>VIVA MAYALES S.A.S</v>
      </c>
      <c r="F14" t="s">
        <v>50</v>
      </c>
    </row>
    <row r="15" spans="2:6" x14ac:dyDescent="0.3">
      <c r="B15" t="str">
        <v>PROMOTORA RESERVAS DE ANDALUCÍA S.A.S</v>
      </c>
      <c r="F15" t="s">
        <v>209</v>
      </c>
    </row>
    <row r="16" spans="2:6" x14ac:dyDescent="0.3">
      <c r="B16" t="str">
        <v>DAYANA MARCELA LEYVA
CARCAMO</v>
      </c>
      <c r="F16" t="s">
        <v>54</v>
      </c>
    </row>
    <row r="17" spans="2:6" x14ac:dyDescent="0.3">
      <c r="B17" t="str">
        <v>LUIS ROBERTO POSADA SANCHEZ</v>
      </c>
      <c r="F17" t="s">
        <v>69</v>
      </c>
    </row>
    <row r="18" spans="2:6" x14ac:dyDescent="0.3">
      <c r="B18" t="str">
        <v>JUAN DANIEL ROJAS MEJIA</v>
      </c>
      <c r="F18" t="s">
        <v>270</v>
      </c>
    </row>
    <row r="19" spans="2:6" x14ac:dyDescent="0.3">
      <c r="B19" t="str">
        <v>CARMEN MARIA
SERRANO ROMERO</v>
      </c>
      <c r="F19" t="s">
        <v>94</v>
      </c>
    </row>
    <row r="20" spans="2:6" x14ac:dyDescent="0.3">
      <c r="B20" t="str">
        <v>ESE HOSPITAL ROSARIO
PUMAREJO DE LÓPEZ</v>
      </c>
      <c r="F20" t="s">
        <v>103</v>
      </c>
    </row>
    <row r="21" spans="2:6" x14ac:dyDescent="0.3">
      <c r="B21" t="str">
        <v>PROYECTOS E INVERSIONES MPL</v>
      </c>
      <c r="F21" t="s">
        <v>101</v>
      </c>
    </row>
    <row r="22" spans="2:6" x14ac:dyDescent="0.3">
      <c r="B22" t="str">
        <v>Departamento del Cesar</v>
      </c>
      <c r="F22" t="s">
        <v>268</v>
      </c>
    </row>
    <row r="23" spans="2:6" x14ac:dyDescent="0.3">
      <c r="B23" t="str">
        <v>BLACK ORCHID SOLAR MANAGEMENT S.A.S</v>
      </c>
      <c r="F23" t="s">
        <v>262</v>
      </c>
    </row>
    <row r="24" spans="2:6" x14ac:dyDescent="0.3">
      <c r="B24" t="str">
        <v>CENIT TRANSPORTE Y LOGISTICA DE HIDROCARBUROS S.A.S.</v>
      </c>
      <c r="F24" t="s">
        <v>135</v>
      </c>
    </row>
    <row r="25" spans="2:6" x14ac:dyDescent="0.3">
      <c r="B25" t="str">
        <v>RODAS SOLAR S.A.S</v>
      </c>
      <c r="F25" t="s">
        <v>303</v>
      </c>
    </row>
    <row r="26" spans="2:6" x14ac:dyDescent="0.3">
      <c r="B26" t="str">
        <v>CONSORCIO TRANSVERSAL VIAL NEVADĀ</v>
      </c>
      <c r="F26" t="s">
        <v>131</v>
      </c>
    </row>
    <row r="27" spans="2:6" x14ac:dyDescent="0.3">
      <c r="B27" t="str">
        <v>Municipio de Valledupar</v>
      </c>
      <c r="F27" t="s">
        <v>24</v>
      </c>
    </row>
    <row r="28" spans="2:6" x14ac:dyDescent="0.3">
      <c r="B28" t="str">
        <v>SERPETCOL
S.A.S</v>
      </c>
      <c r="F28" t="s">
        <v>51</v>
      </c>
    </row>
    <row r="29" spans="2:6" x14ac:dyDescent="0.3">
      <c r="B29" t="str">
        <v>NUEVA CLINICA ARENAS</v>
      </c>
      <c r="F29" t="s">
        <v>278</v>
      </c>
    </row>
    <row r="30" spans="2:6" x14ac:dyDescent="0.3">
      <c r="B30" t="str">
        <v>SERVICONSTRUCCIONES DEL CARIBE S.A.S.</v>
      </c>
      <c r="F30" t="s">
        <v>299</v>
      </c>
    </row>
    <row r="31" spans="2:6" x14ac:dyDescent="0.3">
      <c r="B31" t="str">
        <v>Secretario de Obras Públicas</v>
      </c>
      <c r="F31" t="s">
        <v>279</v>
      </c>
    </row>
    <row r="32" spans="2:6" x14ac:dyDescent="0.3">
      <c r="B32" t="str">
        <v>Alcaldia</v>
      </c>
      <c r="F32" t="s">
        <v>280</v>
      </c>
    </row>
    <row r="33" spans="2:6" x14ac:dyDescent="0.3">
      <c r="B33" t="str">
        <v>CESAR AUGUSTO SIERRA MARQUEZ</v>
      </c>
      <c r="F33" t="s">
        <v>63</v>
      </c>
    </row>
    <row r="34" spans="2:6" x14ac:dyDescent="0.3">
      <c r="B34" t="str">
        <v>DIEGO MERCADO SANABRIA</v>
      </c>
      <c r="F34" t="s">
        <v>25</v>
      </c>
    </row>
    <row r="35" spans="2:6" x14ac:dyDescent="0.3">
      <c r="B35" t="str">
        <v>INVERSIONES GALAMBAO S.A.S</v>
      </c>
      <c r="F35" t="s">
        <v>97</v>
      </c>
    </row>
    <row r="36" spans="2:6" x14ac:dyDescent="0.3">
      <c r="B36" t="str">
        <v>CLAUDIA LUZ PARRA CASTAÑO</v>
      </c>
      <c r="F36" t="s">
        <v>312</v>
      </c>
    </row>
    <row r="37" spans="2:6" x14ac:dyDescent="0.3">
      <c r="B37" t="str">
        <v>Gobernacion</v>
      </c>
      <c r="F37" t="s">
        <v>229</v>
      </c>
    </row>
    <row r="38" spans="2:6" x14ac:dyDescent="0.3">
      <c r="B38" t="str">
        <v>NELSON MANUEL GONZALEZ GONZALEZ</v>
      </c>
      <c r="F38" t="s">
        <v>128</v>
      </c>
    </row>
    <row r="39" spans="2:6" x14ac:dyDescent="0.3">
      <c r="B39" t="str">
        <v>ANYEL DANIELA QUIÑONEZ HUERTAS</v>
      </c>
      <c r="F39" t="s">
        <v>320</v>
      </c>
    </row>
    <row r="40" spans="2:6" x14ac:dyDescent="0.3">
      <c r="B40" t="str">
        <v>MARIA ALEJANDRA ARZUAGA PADILLA</v>
      </c>
      <c r="F40" t="s">
        <v>43</v>
      </c>
    </row>
    <row r="41" spans="2:6" x14ac:dyDescent="0.3">
      <c r="B41" t="str">
        <v>UNIÓN TEMPORAL VIAL VLP</v>
      </c>
      <c r="F41" t="s">
        <v>143</v>
      </c>
    </row>
    <row r="42" spans="2:6" x14ac:dyDescent="0.3">
      <c r="B42" t="str">
        <v>ALCALDÍA DEL MUNICIPIO DE VALLEDUPAR</v>
      </c>
      <c r="F42" t="s">
        <v>296</v>
      </c>
    </row>
    <row r="43" spans="2:6" x14ac:dyDescent="0.3">
      <c r="B43" t="str">
        <v>CONSTRUAMBIENTE S.A.S</v>
      </c>
      <c r="F43" t="s">
        <v>31</v>
      </c>
    </row>
    <row r="44" spans="2:6" x14ac:dyDescent="0.3">
      <c r="B44" t="str">
        <v>CORPORACION DE CIENCIA Y TECNOLOGIA PARA EL DESARROLLO DE LA INDUSTRIA NAVAL, MARITIMA Y FLUVIAL- COTECMAR</v>
      </c>
      <c r="F44" t="s">
        <v>71</v>
      </c>
    </row>
    <row r="45" spans="2:6" x14ac:dyDescent="0.3">
      <c r="B45" t="str">
        <v>TRANSPORTADORA DE GAS INTERNACIONAL S.A</v>
      </c>
      <c r="F45" t="s">
        <v>315</v>
      </c>
    </row>
    <row r="46" spans="2:6" x14ac:dyDescent="0.3">
      <c r="B46" t="str">
        <v>YUMA CONCESIONARIA S.A.</v>
      </c>
      <c r="F46" t="s">
        <v>19</v>
      </c>
    </row>
    <row r="47" spans="2:6" x14ac:dyDescent="0.3">
      <c r="B47" t="str">
        <v>HELCIAS RODOLFO
CASTILLA VALERA</v>
      </c>
      <c r="F47" t="s">
        <v>310</v>
      </c>
    </row>
    <row r="48" spans="2:6" x14ac:dyDescent="0.3">
      <c r="B48" t="str">
        <v>EQUIMAQ DEL CESAR S.A.S.</v>
      </c>
      <c r="F48" t="s">
        <v>236</v>
      </c>
    </row>
    <row r="49" spans="2:6" x14ac:dyDescent="0.3">
      <c r="B49" t="str">
        <v>CONSORCIO LA GLORIETA</v>
      </c>
      <c r="F49" t="s">
        <v>155</v>
      </c>
    </row>
    <row r="50" spans="2:6" x14ac:dyDescent="0.3">
      <c r="B50" t="str">
        <v>ORBE SAS CONSTRUCCIONES</v>
      </c>
      <c r="F50" t="s">
        <v>275</v>
      </c>
    </row>
    <row r="51" spans="2:6" x14ac:dyDescent="0.3">
      <c r="B51" t="str">
        <v>OLIVIERO CARDENAS QUINTERO</v>
      </c>
      <c r="F51" t="s">
        <v>308</v>
      </c>
    </row>
    <row r="52" spans="2:6" x14ac:dyDescent="0.3">
      <c r="B52" t="str">
        <v>LIZANDRO JOSE VEGA ARAUJO</v>
      </c>
      <c r="F52" t="s">
        <v>125</v>
      </c>
    </row>
    <row r="53" spans="2:6" x14ac:dyDescent="0.3">
      <c r="B53" t="str">
        <v>ANTONIO LUIS ANDRADRE ANDRADE</v>
      </c>
      <c r="F53" t="s">
        <v>197</v>
      </c>
    </row>
    <row r="54" spans="2:6" x14ac:dyDescent="0.3">
      <c r="B54" t="str">
        <v>SOMAYA LILI CASTRO PACHECO</v>
      </c>
      <c r="F54" t="s">
        <v>295</v>
      </c>
    </row>
    <row r="55" spans="2:6" x14ac:dyDescent="0.3">
      <c r="B55" t="str">
        <v>REDOMACOL SAS</v>
      </c>
      <c r="F55" t="s">
        <v>99</v>
      </c>
    </row>
    <row r="56" spans="2:6" x14ac:dyDescent="0.3">
      <c r="B56" t="str">
        <v>UNIVERSIDAD DE SANTANDER</v>
      </c>
      <c r="F56" t="s">
        <v>150</v>
      </c>
    </row>
    <row r="57" spans="2:6" x14ac:dyDescent="0.3">
      <c r="B57" t="str">
        <v>INVERSIONES GLP SAS ESP</v>
      </c>
      <c r="F57" t="s">
        <v>189</v>
      </c>
    </row>
    <row r="58" spans="2:6" x14ac:dyDescent="0.3">
      <c r="B58" t="str">
        <v>GLORISETH QUINTANA PABON</v>
      </c>
      <c r="F58" t="s">
        <v>294</v>
      </c>
    </row>
    <row r="59" spans="2:6" x14ac:dyDescent="0.3">
      <c r="B59" t="str">
        <v>RODOLFO CALDERÓN OROZCO</v>
      </c>
      <c r="F59" t="s">
        <v>311</v>
      </c>
    </row>
    <row r="60" spans="2:6" x14ac:dyDescent="0.3">
      <c r="B60" t="str">
        <v>AEREOPUERTO DE ORIENTES S.A.S</v>
      </c>
      <c r="F60" t="s">
        <v>238</v>
      </c>
    </row>
    <row r="61" spans="2:6" x14ac:dyDescent="0.3">
      <c r="B61" t="str">
        <v>JOSE ALBERTO GUTIERREZ MIELES</v>
      </c>
      <c r="F61" t="s">
        <v>292</v>
      </c>
    </row>
    <row r="62" spans="2:6" x14ac:dyDescent="0.3">
      <c r="B62" t="str">
        <v>INVERSIONES Y PROYECTOS SAS</v>
      </c>
      <c r="F62" t="s">
        <v>220</v>
      </c>
    </row>
    <row r="63" spans="2:6" x14ac:dyDescent="0.3">
      <c r="B63" t="str">
        <v>ESE HOSPITAL ROSARIO PUMAREJO DE LÓPEZ</v>
      </c>
      <c r="F63" t="s">
        <v>249</v>
      </c>
    </row>
    <row r="64" spans="2:6" x14ac:dyDescent="0.3">
      <c r="B64" t="str">
        <v>IMEM CONTRUCCIONES</v>
      </c>
      <c r="F64" t="s">
        <v>269</v>
      </c>
    </row>
    <row r="65" spans="2:6" x14ac:dyDescent="0.3">
      <c r="B65" t="str">
        <v>ESE HOSPITAL el Socorro</v>
      </c>
      <c r="F65" t="s">
        <v>200</v>
      </c>
    </row>
    <row r="66" spans="2:6" x14ac:dyDescent="0.3">
      <c r="B66" t="str">
        <v>JUDITH DEL CARMEN GONZALES BOLAÑOS</v>
      </c>
      <c r="F66" t="s">
        <v>298</v>
      </c>
    </row>
    <row r="67" spans="2:6" x14ac:dyDescent="0.3">
      <c r="B67" t="str">
        <v>CONSTRUVID S.A.S</v>
      </c>
      <c r="F67" t="s">
        <v>267</v>
      </c>
    </row>
    <row r="68" spans="2:6" x14ac:dyDescent="0.3">
      <c r="B68" t="str">
        <v>UNIVERSIDAD NACIONAL ABIERTA Y A DISTANCIA (UNAD)</v>
      </c>
      <c r="F68" t="s">
        <v>203</v>
      </c>
    </row>
    <row r="69" spans="2:6" x14ac:dyDescent="0.3">
      <c r="B69" t="str">
        <v>AUTOPISTA DEL RIO GRANDE S.A.S</v>
      </c>
      <c r="F69" t="s">
        <v>26</v>
      </c>
    </row>
    <row r="70" spans="2:6" x14ac:dyDescent="0.3">
      <c r="B70" t="str">
        <v>OVIER JOSE JIMENEZ PALMERA</v>
      </c>
      <c r="F70" t="s">
        <v>245</v>
      </c>
    </row>
    <row r="71" spans="2:6" x14ac:dyDescent="0.3">
      <c r="B71" t="str">
        <v>INVERSIONES GUATAPURI SAS</v>
      </c>
      <c r="F71" t="s">
        <v>283</v>
      </c>
    </row>
    <row r="72" spans="2:6" x14ac:dyDescent="0.3">
      <c r="B72" t="str">
        <v>CONSORCIO CONTRU-EDUCATIVO EL COPEY</v>
      </c>
      <c r="F72" t="s">
        <v>305</v>
      </c>
    </row>
    <row r="73" spans="2:6" x14ac:dyDescent="0.3">
      <c r="B73" t="str">
        <v>PEDRO NEL PINO PORTILLA</v>
      </c>
      <c r="F73" t="s">
        <v>65</v>
      </c>
    </row>
    <row r="74" spans="2:6" x14ac:dyDescent="0.3">
      <c r="B74" t="str">
        <v>HERNÁN
EDUARDO BAQUERO RODRIGUEZ</v>
      </c>
      <c r="F74" t="s">
        <v>109</v>
      </c>
    </row>
    <row r="75" spans="2:6" x14ac:dyDescent="0.3">
      <c r="B75" t="str">
        <v>JUAN DANIEL ROJAS MEJÍA.</v>
      </c>
      <c r="F75" t="s">
        <v>58</v>
      </c>
    </row>
    <row r="76" spans="2:6" x14ac:dyDescent="0.3">
      <c r="B76" t="str">
        <v>MOISES EDUARDO GIL MAESTR</v>
      </c>
      <c r="F76" t="s">
        <v>241</v>
      </c>
    </row>
    <row r="77" spans="2:6" x14ac:dyDescent="0.3">
      <c r="B77" t="str">
        <v>PARQUE SOLAR EL UNIÓN S.A.S E.S.P</v>
      </c>
      <c r="F77" t="s">
        <v>214</v>
      </c>
    </row>
    <row r="78" spans="2:6" x14ac:dyDescent="0.3">
      <c r="B78" t="str">
        <v>BUEN FUTURO LIMITADA Y
COMPAÑÍA S.C.A</v>
      </c>
      <c r="F78" t="s">
        <v>239</v>
      </c>
    </row>
    <row r="79" spans="2:6" x14ac:dyDescent="0.3">
      <c r="B79" t="str">
        <v>LLALIME SERRANO DAZA</v>
      </c>
      <c r="F79" t="s">
        <v>302</v>
      </c>
    </row>
    <row r="80" spans="2:6" x14ac:dyDescent="0.3">
      <c r="B80" t="str">
        <v>ALCALDÍA DEL MUNICIPIO DE PAILITAS</v>
      </c>
      <c r="F80" t="s">
        <v>271</v>
      </c>
    </row>
    <row r="81" spans="2:6" x14ac:dyDescent="0.3">
      <c r="B81" t="str">
        <v>PEDRO MIGUEL LOZANO ORTIZ</v>
      </c>
      <c r="F81" t="s">
        <v>105</v>
      </c>
    </row>
    <row r="82" spans="2:6" x14ac:dyDescent="0.3">
      <c r="B82" t="str">
        <v>VICTOR ENRIQUE FUENTES JIMENEZ</v>
      </c>
      <c r="F82" t="s">
        <v>247</v>
      </c>
    </row>
    <row r="83" spans="2:6" x14ac:dyDescent="0.3">
      <c r="B83" t="str">
        <v>JOSE DEL CARMEN SUAREZ INFANTE</v>
      </c>
      <c r="F83" t="s">
        <v>272</v>
      </c>
    </row>
    <row r="84" spans="2:6" x14ac:dyDescent="0.3">
      <c r="B84" t="str">
        <v>MARIA TERESA ORTIZ MOLINA</v>
      </c>
      <c r="F84" t="s">
        <v>41</v>
      </c>
    </row>
    <row r="85" spans="2:6" x14ac:dyDescent="0.3">
      <c r="B85" t="str">
        <v>GRUPO ENERGETICO DE SANTANDER S.A.S E.S.P</v>
      </c>
      <c r="F85" t="s">
        <v>282</v>
      </c>
    </row>
    <row r="86" spans="2:6" x14ac:dyDescent="0.3">
      <c r="B86" t="str">
        <v>ORLANDO ANTONIO
AGUILAR QUINTERO</v>
      </c>
      <c r="F86" t="s">
        <v>281</v>
      </c>
    </row>
    <row r="87" spans="2:6" x14ac:dyDescent="0.3">
      <c r="B87" t="str">
        <v>EVOLUSUN COLOMBIA S.A.S</v>
      </c>
      <c r="F87" t="s">
        <v>225</v>
      </c>
    </row>
    <row r="88" spans="2:6" x14ac:dyDescent="0.3">
      <c r="B88" t="str">
        <v>SELENA QUINTERO QUINTERO</v>
      </c>
      <c r="F88" t="s">
        <v>301</v>
      </c>
    </row>
    <row r="89" spans="2:6" x14ac:dyDescent="0.3">
      <c r="B89" t="str">
        <v>ELVIA MILENA SANJUAN DÁVILA</v>
      </c>
      <c r="F89" t="s">
        <v>205</v>
      </c>
    </row>
    <row r="90" spans="2:6" x14ac:dyDescent="0.3">
      <c r="B90" t="str">
        <v>VIVIANA GONZALEZ SANCHEZ</v>
      </c>
      <c r="F90" t="s">
        <v>216</v>
      </c>
    </row>
    <row r="91" spans="2:6" x14ac:dyDescent="0.3">
      <c r="B91" t="str">
        <v>FERMIN RAMÍREZ BAYONA</v>
      </c>
      <c r="F91" t="s">
        <v>304</v>
      </c>
    </row>
    <row r="92" spans="2:6" x14ac:dyDescent="0.3">
      <c r="B92" t="str">
        <v>JENNIFER ANILLO RIOS</v>
      </c>
      <c r="F92" t="s">
        <v>95</v>
      </c>
    </row>
    <row r="93" spans="2:6" x14ac:dyDescent="0.3">
      <c r="B93" t="str">
        <v>MARICELA BECERRA
CALDERON</v>
      </c>
      <c r="F93" t="s">
        <v>21</v>
      </c>
    </row>
    <row r="94" spans="2:6" x14ac:dyDescent="0.3">
      <c r="B94" t="str">
        <v>MARIA MARTHA
LACOUTURE MAYA</v>
      </c>
      <c r="F94" t="s">
        <v>29</v>
      </c>
    </row>
    <row r="95" spans="2:6" x14ac:dyDescent="0.3">
      <c r="B95" t="str">
        <v>SILVIA PATRICIA MARTINEZ MARTINEZ</v>
      </c>
      <c r="F95" t="s">
        <v>288</v>
      </c>
    </row>
    <row r="96" spans="2:6" x14ac:dyDescent="0.3">
      <c r="B96" t="str">
        <v>LILIA VARGAS DE MENDOZA</v>
      </c>
      <c r="F96" t="s">
        <v>313</v>
      </c>
    </row>
    <row r="97" spans="2:6" x14ac:dyDescent="0.3">
      <c r="B97" t="str">
        <v>NESTOR JAVIER ALFARO BENITEZ</v>
      </c>
      <c r="F97" t="s">
        <v>23</v>
      </c>
    </row>
    <row r="98" spans="2:6" x14ac:dyDescent="0.3">
      <c r="B98" t="str">
        <v>JOSE LUIS PALOMINO LOPEZ</v>
      </c>
      <c r="F98" t="s">
        <v>266</v>
      </c>
    </row>
    <row r="99" spans="2:6" x14ac:dyDescent="0.3">
      <c r="B99" t="str">
        <v>SANDRA MILENA BARAHONA VELEZ</v>
      </c>
      <c r="F99" t="s">
        <v>157</v>
      </c>
    </row>
    <row r="100" spans="2:6" x14ac:dyDescent="0.3">
      <c r="B100" t="str">
        <v>Fermin Ramirez Bayona</v>
      </c>
      <c r="F100" t="s">
        <v>252</v>
      </c>
    </row>
    <row r="101" spans="2:6" x14ac:dyDescent="0.3">
      <c r="B101" t="str">
        <v>Javier Murgas Barreto</v>
      </c>
      <c r="F101" t="s">
        <v>273</v>
      </c>
    </row>
    <row r="102" spans="2:6" x14ac:dyDescent="0.3">
      <c r="B102" t="str">
        <v>Elizabeth Gutiérrez</v>
      </c>
      <c r="F102" t="s">
        <v>309</v>
      </c>
    </row>
    <row r="103" spans="2:6" x14ac:dyDescent="0.3">
      <c r="B103" t="str">
        <v>Ricardo Rafael Fuente Jiménez</v>
      </c>
      <c r="F103" t="s">
        <v>85</v>
      </c>
    </row>
    <row r="104" spans="2:6" x14ac:dyDescent="0.3">
      <c r="B104" t="str">
        <v>COL AGROFORESTAL LA JAGUA ZOMAC S.A.S</v>
      </c>
      <c r="F104" t="s">
        <v>264</v>
      </c>
    </row>
    <row r="105" spans="2:6" x14ac:dyDescent="0.3">
      <c r="B105" t="str">
        <v>RODAS SOLAR S.A.S.</v>
      </c>
      <c r="F105" t="s">
        <v>243</v>
      </c>
    </row>
    <row r="106" spans="2:6" x14ac:dyDescent="0.3">
      <c r="B106" t="str">
        <v>LA ESTACIÓN SOLAR S.A.S E.S.P</v>
      </c>
      <c r="F106" t="s">
        <v>112</v>
      </c>
    </row>
    <row r="107" spans="2:6" x14ac:dyDescent="0.3">
      <c r="B107" t="str">
        <v>Persona natural</v>
      </c>
      <c r="F107" t="s">
        <v>286</v>
      </c>
    </row>
    <row r="108" spans="2:6" x14ac:dyDescent="0.3">
      <c r="F108" t="s">
        <v>120</v>
      </c>
    </row>
    <row r="109" spans="2:6" x14ac:dyDescent="0.3">
      <c r="F109" t="s">
        <v>118</v>
      </c>
    </row>
    <row r="110" spans="2:6" x14ac:dyDescent="0.3">
      <c r="F110" t="s">
        <v>177</v>
      </c>
    </row>
    <row r="111" spans="2:6" x14ac:dyDescent="0.3">
      <c r="F111" t="s">
        <v>297</v>
      </c>
    </row>
    <row r="112" spans="2:6" x14ac:dyDescent="0.3">
      <c r="F112" t="s">
        <v>28</v>
      </c>
    </row>
    <row r="113" spans="6:6" x14ac:dyDescent="0.3">
      <c r="F113" t="s">
        <v>137</v>
      </c>
    </row>
    <row r="114" spans="6:6" x14ac:dyDescent="0.3">
      <c r="F114" t="s">
        <v>22</v>
      </c>
    </row>
    <row r="115" spans="6:6" x14ac:dyDescent="0.3">
      <c r="F115" t="s">
        <v>289</v>
      </c>
    </row>
    <row r="116" spans="6:6" x14ac:dyDescent="0.3">
      <c r="F116" t="s">
        <v>300</v>
      </c>
    </row>
    <row r="117" spans="6:6" x14ac:dyDescent="0.3">
      <c r="F117" t="s">
        <v>218</v>
      </c>
    </row>
    <row r="118" spans="6:6" x14ac:dyDescent="0.3">
      <c r="F118" t="s">
        <v>20</v>
      </c>
    </row>
    <row r="119" spans="6:6" x14ac:dyDescent="0.3">
      <c r="F119" t="s">
        <v>231</v>
      </c>
    </row>
    <row r="120" spans="6:6" x14ac:dyDescent="0.3">
      <c r="F120" t="s">
        <v>123</v>
      </c>
    </row>
  </sheetData>
  <sortState xmlns:xlrd2="http://schemas.microsoft.com/office/spreadsheetml/2017/richdata2" ref="F2:F120">
    <sortCondition ref="F2:F1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Andres Beltran Gomez</dc:creator>
  <cp:lastModifiedBy>Miguel Andres Beltran Gomez</cp:lastModifiedBy>
  <dcterms:created xsi:type="dcterms:W3CDTF">2026-09-14T16:44:25Z</dcterms:created>
  <dcterms:modified xsi:type="dcterms:W3CDTF">2026-10-07T16:01:07Z</dcterms:modified>
</cp:coreProperties>
</file>